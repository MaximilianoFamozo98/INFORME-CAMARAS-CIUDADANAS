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\Desktop\INFORME-CAMARAS-CIUDADANAS\data\"/>
    </mc:Choice>
  </mc:AlternateContent>
  <xr:revisionPtr revIDLastSave="0" documentId="13_ncr:1_{32A3EF8C-3382-479C-A396-D608BB2FCDE6}" xr6:coauthVersionLast="47" xr6:coauthVersionMax="47" xr10:uidLastSave="{00000000-0000-0000-0000-000000000000}"/>
  <bookViews>
    <workbookView xWindow="-120" yWindow="-120" windowWidth="20730" windowHeight="11160" tabRatio="602" xr2:uid="{00000000-000D-0000-FFFF-FFFF00000000}"/>
  </bookViews>
  <sheets>
    <sheet name="RESUMEN TOTAL" sheetId="2" r:id="rId1"/>
  </sheets>
  <definedNames>
    <definedName name="_25_de_agosto" localSheetId="0">'RESUMEN TOTAL'!$A$7:$D$498</definedName>
    <definedName name="_25_de_agosto_3" localSheetId="0">'RESUMEN TOTAL'!$A$7:$D$510</definedName>
    <definedName name="_30_mar">#REF!</definedName>
    <definedName name="_xlnm._FilterDatabase" localSheetId="0" hidden="1">'RESUMEN TOTAL'!$A$7:$AN$593</definedName>
    <definedName name="BONOMOcam">#REF!</definedName>
    <definedName name="CANTIDAD_DE_CAMARAS">'RESUMEN TOTAL'!$B$1</definedName>
    <definedName name="COSEIDIcam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3" i="2" l="1"/>
  <c r="L146" i="2" l="1"/>
  <c r="L166" i="2"/>
  <c r="L191" i="2"/>
  <c r="L258" i="2"/>
  <c r="L255" i="2"/>
  <c r="L34" i="2"/>
  <c r="L256" i="2"/>
  <c r="L257" i="2"/>
  <c r="L232" i="2"/>
  <c r="L488" i="2"/>
  <c r="L591" i="2"/>
  <c r="L468" i="2"/>
  <c r="L575" i="2"/>
  <c r="L402" i="2"/>
  <c r="L236" i="2"/>
  <c r="L420" i="2"/>
  <c r="L222" i="2"/>
  <c r="L574" i="2"/>
  <c r="L145" i="2"/>
  <c r="L338" i="2"/>
  <c r="L432" i="2"/>
  <c r="L46" i="2"/>
  <c r="L45" i="2"/>
  <c r="L339" i="2"/>
  <c r="L193" i="2"/>
  <c r="L533" i="2"/>
  <c r="L534" i="2"/>
  <c r="L144" i="2"/>
  <c r="L282" i="2" l="1"/>
  <c r="L281" i="2"/>
  <c r="L217" i="2"/>
  <c r="L376" i="2" l="1"/>
  <c r="L582" i="2"/>
  <c r="L463" i="2"/>
  <c r="L192" i="2"/>
  <c r="AD6" i="2" l="1"/>
  <c r="AN6" i="2"/>
  <c r="AN5" i="2"/>
  <c r="AN4" i="2"/>
  <c r="AM6" i="2"/>
  <c r="AM5" i="2"/>
  <c r="AM4" i="2"/>
  <c r="AL6" i="2"/>
  <c r="AL5" i="2"/>
  <c r="AL4" i="2"/>
  <c r="AK6" i="2"/>
  <c r="AK5" i="2"/>
  <c r="AK4" i="2"/>
  <c r="AJ6" i="2"/>
  <c r="AJ5" i="2"/>
  <c r="AJ4" i="2"/>
  <c r="AI6" i="2"/>
  <c r="AI5" i="2"/>
  <c r="AI4" i="2"/>
  <c r="AH6" i="2"/>
  <c r="AH5" i="2"/>
  <c r="AH4" i="2"/>
  <c r="AG6" i="2"/>
  <c r="AG5" i="2"/>
  <c r="AG4" i="2"/>
  <c r="AF6" i="2"/>
  <c r="AF5" i="2"/>
  <c r="AF4" i="2"/>
  <c r="AE6" i="2"/>
  <c r="AE5" i="2"/>
  <c r="AE4" i="2"/>
  <c r="AD5" i="2"/>
  <c r="AD4" i="2"/>
  <c r="AC6" i="2"/>
  <c r="AC5" i="2"/>
  <c r="AC4" i="2"/>
  <c r="AB6" i="2"/>
  <c r="AB5" i="2"/>
  <c r="AB4" i="2"/>
  <c r="AA6" i="2"/>
  <c r="AA5" i="2"/>
  <c r="AA4" i="2"/>
  <c r="Z6" i="2"/>
  <c r="Z5" i="2"/>
  <c r="Z4" i="2"/>
  <c r="Y6" i="2"/>
  <c r="Y5" i="2"/>
  <c r="Y4" i="2"/>
  <c r="X6" i="2"/>
  <c r="X5" i="2"/>
  <c r="X4" i="2"/>
  <c r="W6" i="2"/>
  <c r="W5" i="2"/>
  <c r="W4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V6" i="2"/>
  <c r="V5" i="2"/>
  <c r="V4" i="2"/>
  <c r="U6" i="2"/>
  <c r="U5" i="2"/>
  <c r="U4" i="2"/>
  <c r="T6" i="2"/>
  <c r="T5" i="2"/>
  <c r="T4" i="2"/>
  <c r="S6" i="2"/>
  <c r="S5" i="2"/>
  <c r="S4" i="2"/>
  <c r="R6" i="2"/>
  <c r="R5" i="2"/>
  <c r="R4" i="2"/>
  <c r="Q6" i="2"/>
  <c r="Q5" i="2"/>
  <c r="Q4" i="2"/>
  <c r="P6" i="2"/>
  <c r="P5" i="2"/>
  <c r="P4" i="2"/>
  <c r="O6" i="2"/>
  <c r="O5" i="2"/>
  <c r="O4" i="2"/>
  <c r="N6" i="2"/>
  <c r="N5" i="2"/>
  <c r="N4" i="2"/>
  <c r="M6" i="2"/>
  <c r="M5" i="2"/>
  <c r="M4" i="2"/>
  <c r="L369" i="2" l="1"/>
  <c r="L372" i="2"/>
  <c r="L485" i="2"/>
  <c r="L42" i="2"/>
  <c r="L370" i="2"/>
  <c r="L37" i="2"/>
  <c r="L416" i="2"/>
  <c r="L415" i="2"/>
  <c r="L486" i="2"/>
  <c r="L467" i="2"/>
  <c r="L487" i="2"/>
  <c r="L44" i="2"/>
  <c r="L484" i="2"/>
  <c r="L458" i="2"/>
  <c r="L143" i="2"/>
  <c r="L563" i="2"/>
  <c r="L550" i="2"/>
  <c r="L140" i="2"/>
  <c r="L136" i="2"/>
  <c r="L461" i="2"/>
  <c r="L279" i="2"/>
  <c r="L293" i="2"/>
  <c r="L430" i="2"/>
  <c r="L139" i="2"/>
  <c r="L33" i="2"/>
  <c r="L531" i="2"/>
  <c r="L32" i="2"/>
  <c r="L221" i="2"/>
  <c r="L194" i="2"/>
  <c r="L460" i="2"/>
  <c r="L462" i="2"/>
  <c r="L190" i="2"/>
  <c r="L231" i="2"/>
  <c r="L556" i="2"/>
  <c r="L41" i="2"/>
  <c r="L141" i="2"/>
  <c r="L137" i="2"/>
  <c r="L31" i="2"/>
  <c r="L459" i="2"/>
  <c r="L530" i="2"/>
  <c r="L135" i="2"/>
  <c r="L43" i="2"/>
  <c r="L371" i="2"/>
  <c r="L557" i="2"/>
  <c r="L401" i="2"/>
  <c r="L162" i="2"/>
  <c r="L21" i="2"/>
  <c r="L189" i="2"/>
  <c r="L280" i="2"/>
  <c r="L294" i="2"/>
  <c r="L431" i="2"/>
  <c r="L532" i="2"/>
  <c r="L555" i="2"/>
  <c r="L163" i="2"/>
  <c r="L20" i="2"/>
  <c r="L142" i="2"/>
  <c r="L138" i="2"/>
  <c r="L216" i="2"/>
  <c r="L38" i="2"/>
  <c r="L590" i="2"/>
  <c r="L171" i="2"/>
  <c r="L172" i="2"/>
  <c r="L413" i="2"/>
  <c r="L414" i="2"/>
  <c r="L18" i="2"/>
  <c r="L39" i="2" l="1"/>
  <c r="L419" i="2"/>
  <c r="L587" i="2"/>
  <c r="L588" i="2"/>
  <c r="L589" i="2"/>
  <c r="L134" i="2"/>
  <c r="L230" i="2"/>
  <c r="L40" i="2"/>
  <c r="L400" i="2"/>
  <c r="L399" i="2"/>
  <c r="L353" i="2"/>
  <c r="L398" i="2"/>
  <c r="L36" i="2"/>
  <c r="L355" i="2"/>
  <c r="L354" i="2"/>
  <c r="S3" i="2"/>
  <c r="R3" i="2"/>
  <c r="L336" i="2" l="1"/>
  <c r="L337" i="2"/>
  <c r="L335" i="2"/>
  <c r="L418" i="2"/>
  <c r="L483" i="2"/>
  <c r="L35" i="2"/>
  <c r="L30" i="2"/>
  <c r="L543" i="2" l="1"/>
  <c r="L292" i="2"/>
  <c r="L482" i="2"/>
  <c r="L334" i="2"/>
  <c r="L340" i="2"/>
  <c r="L165" i="2"/>
  <c r="L133" i="2" l="1"/>
  <c r="L229" i="2"/>
  <c r="L164" i="2" l="1"/>
  <c r="L266" i="2"/>
  <c r="L382" i="2"/>
  <c r="L549" i="2"/>
  <c r="B1" i="2"/>
  <c r="V3" i="2"/>
  <c r="U3" i="2"/>
  <c r="Q3" i="2"/>
  <c r="P3" i="2"/>
  <c r="O3" i="2"/>
  <c r="T3" i="2"/>
  <c r="N2" i="2" l="1"/>
  <c r="Z2" i="2"/>
  <c r="AL2" i="2"/>
  <c r="O2" i="2"/>
  <c r="AA2" i="2"/>
  <c r="AM2" i="2"/>
  <c r="P2" i="2"/>
  <c r="AB2" i="2"/>
  <c r="AN2" i="2"/>
  <c r="Q2" i="2"/>
  <c r="AC2" i="2"/>
  <c r="R2" i="2"/>
  <c r="AD2" i="2"/>
  <c r="AK2" i="2"/>
  <c r="S2" i="2"/>
  <c r="AE2" i="2"/>
  <c r="M2" i="2"/>
  <c r="T2" i="2"/>
  <c r="AF2" i="2"/>
  <c r="U2" i="2"/>
  <c r="AG2" i="2"/>
  <c r="V2" i="2"/>
  <c r="AH2" i="2"/>
  <c r="W2" i="2"/>
  <c r="AI2" i="2"/>
  <c r="X2" i="2"/>
  <c r="AJ2" i="2"/>
  <c r="Y2" i="2"/>
  <c r="L132" i="2" l="1"/>
  <c r="L352" i="2"/>
  <c r="L326" i="2"/>
  <c r="L327" i="2"/>
  <c r="L456" i="2"/>
  <c r="L457" i="2"/>
  <c r="L274" i="2" l="1"/>
  <c r="L23" i="2"/>
  <c r="L381" i="2"/>
  <c r="L273" i="2"/>
  <c r="L207" i="2"/>
  <c r="L161" i="2"/>
  <c r="L157" i="2"/>
  <c r="L208" i="2"/>
  <c r="L302" i="2"/>
  <c r="L383" i="2"/>
  <c r="L283" i="2"/>
  <c r="L213" i="2"/>
  <c r="L209" i="2"/>
  <c r="L471" i="2"/>
  <c r="L375" i="2"/>
  <c r="L206" i="2"/>
  <c r="L200" i="2"/>
  <c r="L160" i="2"/>
  <c r="L158" i="2"/>
  <c r="L212" i="2"/>
  <c r="L205" i="2"/>
  <c r="L156" i="2"/>
  <c r="L214" i="2"/>
  <c r="L547" i="2"/>
  <c r="L291" i="2"/>
  <c r="L215" i="2"/>
  <c r="L210" i="2"/>
  <c r="L159" i="2"/>
  <c r="L548" i="2"/>
  <c r="L211" i="2"/>
  <c r="L147" i="2"/>
  <c r="L480" i="2" l="1"/>
  <c r="L154" i="2"/>
  <c r="L481" i="2"/>
  <c r="L368" i="2"/>
  <c r="L367" i="2"/>
  <c r="L265" i="2"/>
  <c r="L131" i="2"/>
  <c r="L130" i="2"/>
  <c r="O1" i="2" l="1"/>
  <c r="AN1" i="2"/>
  <c r="L581" i="2" l="1"/>
  <c r="L529" i="2"/>
  <c r="L251" i="2"/>
  <c r="L128" i="2"/>
  <c r="L129" i="2"/>
  <c r="V1" i="2"/>
  <c r="R1" i="2"/>
  <c r="AL1" i="2"/>
  <c r="AC1" i="2"/>
  <c r="Q1" i="2"/>
  <c r="AK1" i="2"/>
  <c r="AB1" i="2"/>
  <c r="P1" i="2"/>
  <c r="AJ1" i="2"/>
  <c r="AH1" i="2"/>
  <c r="Y1" i="2"/>
  <c r="U1" i="2"/>
  <c r="AG1" i="2"/>
  <c r="X1" i="2"/>
  <c r="T1" i="2"/>
  <c r="AF1" i="2"/>
  <c r="W1" i="2"/>
  <c r="S1" i="2"/>
  <c r="AM1" i="2"/>
  <c r="L553" i="2"/>
  <c r="L573" i="2"/>
  <c r="L185" i="2"/>
  <c r="L241" i="2"/>
  <c r="L261" i="2"/>
  <c r="L494" i="2"/>
  <c r="L79" i="2"/>
  <c r="L99" i="2"/>
  <c r="L107" i="2"/>
  <c r="L111" i="2"/>
  <c r="L115" i="2"/>
  <c r="L119" i="2"/>
  <c r="L127" i="2"/>
  <c r="L150" i="2"/>
  <c r="L177" i="2"/>
  <c r="L182" i="2"/>
  <c r="L262" i="2"/>
  <c r="L272" i="2"/>
  <c r="L278" i="2"/>
  <c r="L307" i="2"/>
  <c r="L478" i="2"/>
  <c r="L499" i="2"/>
  <c r="L527" i="2"/>
  <c r="L564" i="2"/>
  <c r="L53" i="2"/>
  <c r="L57" i="2"/>
  <c r="L170" i="2"/>
  <c r="L175" i="2"/>
  <c r="L202" i="2"/>
  <c r="L566" i="2"/>
  <c r="L570" i="2"/>
  <c r="L522" i="2"/>
  <c r="L526" i="2"/>
  <c r="L558" i="2"/>
  <c r="L571" i="2"/>
  <c r="L317" i="2"/>
  <c r="L310" i="2"/>
  <c r="L364" i="2"/>
  <c r="L442" i="2"/>
  <c r="L313" i="2"/>
  <c r="L361" i="2"/>
  <c r="L380" i="2"/>
  <c r="L434" i="2"/>
  <c r="L316" i="2"/>
  <c r="L308" i="2"/>
  <c r="L363" i="2"/>
  <c r="L455" i="2"/>
  <c r="L446" i="2"/>
  <c r="L469" i="2"/>
  <c r="L513" i="2"/>
  <c r="L535" i="2"/>
  <c r="L577" i="2"/>
  <c r="L583" i="2"/>
  <c r="L110" i="2"/>
  <c r="L114" i="2"/>
  <c r="L366" i="2"/>
  <c r="L391" i="2"/>
  <c r="L404" i="2"/>
  <c r="L444" i="2"/>
  <c r="L439" i="2"/>
  <c r="L472" i="2"/>
  <c r="L572" i="2"/>
  <c r="L59" i="2"/>
  <c r="L63" i="2"/>
  <c r="L373" i="2"/>
  <c r="L378" i="2"/>
  <c r="L384" i="2"/>
  <c r="L388" i="2"/>
  <c r="L392" i="2"/>
  <c r="L396" i="2"/>
  <c r="L417" i="2"/>
  <c r="L424" i="2"/>
  <c r="L289" i="2"/>
  <c r="L300" i="2"/>
  <c r="L8" i="2"/>
  <c r="L28" i="2"/>
  <c r="L76" i="2"/>
  <c r="L100" i="2"/>
  <c r="L104" i="2"/>
  <c r="L120" i="2"/>
  <c r="L297" i="2"/>
  <c r="L379" i="2"/>
  <c r="L385" i="2"/>
  <c r="L389" i="2"/>
  <c r="L393" i="2"/>
  <c r="L397" i="2"/>
  <c r="L406" i="2"/>
  <c r="L425" i="2"/>
  <c r="L449" i="2"/>
  <c r="L554" i="2"/>
  <c r="L491" i="2"/>
  <c r="L498" i="2"/>
  <c r="L518" i="2"/>
  <c r="L540" i="2"/>
  <c r="L85" i="2"/>
  <c r="L89" i="2"/>
  <c r="L105" i="2"/>
  <c r="L109" i="2"/>
  <c r="L113" i="2"/>
  <c r="L178" i="2"/>
  <c r="L186" i="2"/>
  <c r="L196" i="2"/>
  <c r="L219" i="2"/>
  <c r="L233" i="2"/>
  <c r="L238" i="2"/>
  <c r="L246" i="2"/>
  <c r="L387" i="2"/>
  <c r="L412" i="2"/>
  <c r="L11" i="2"/>
  <c r="L15" i="2"/>
  <c r="L27" i="2"/>
  <c r="L47" i="2"/>
  <c r="L70" i="2"/>
  <c r="L74" i="2"/>
  <c r="L187" i="2"/>
  <c r="L197" i="2"/>
  <c r="L239" i="2"/>
  <c r="L247" i="2"/>
  <c r="L268" i="2"/>
  <c r="L506" i="2"/>
  <c r="L514" i="2"/>
  <c r="L584" i="2"/>
  <c r="L152" i="2"/>
  <c r="L167" i="2"/>
  <c r="L176" i="2"/>
  <c r="L511" i="2"/>
  <c r="L515" i="2"/>
  <c r="L410" i="2"/>
  <c r="L519" i="2"/>
  <c r="L536" i="2"/>
  <c r="L91" i="2"/>
  <c r="L92" i="2"/>
  <c r="L168" i="2"/>
  <c r="L264" i="2"/>
  <c r="L441" i="2"/>
  <c r="L473" i="2"/>
  <c r="L545" i="2"/>
  <c r="L562" i="2"/>
  <c r="L576" i="2"/>
  <c r="L580" i="2"/>
  <c r="L69" i="2"/>
  <c r="L203" i="2"/>
  <c r="L218" i="2"/>
  <c r="L320" i="2"/>
  <c r="L325" i="2"/>
  <c r="L426" i="2"/>
  <c r="L470" i="2"/>
  <c r="L541" i="2"/>
  <c r="L303" i="2"/>
  <c r="L503" i="2"/>
  <c r="L507" i="2"/>
  <c r="L525" i="2"/>
  <c r="L528" i="2"/>
  <c r="L578" i="2"/>
  <c r="L103" i="2"/>
  <c r="L245" i="2"/>
  <c r="L254" i="2"/>
  <c r="L276" i="2"/>
  <c r="L405" i="2"/>
  <c r="L423" i="2"/>
  <c r="L440" i="2"/>
  <c r="L437" i="2"/>
  <c r="L453" i="2"/>
  <c r="L489" i="2"/>
  <c r="L500" i="2"/>
  <c r="L559" i="2"/>
  <c r="L54" i="2"/>
  <c r="L58" i="2"/>
  <c r="L180" i="2"/>
  <c r="L225" i="2"/>
  <c r="L539" i="2"/>
  <c r="L542" i="2"/>
  <c r="L51" i="2"/>
  <c r="L55" i="2"/>
  <c r="L97" i="2"/>
  <c r="L116" i="2"/>
  <c r="L123" i="2"/>
  <c r="L220" i="2"/>
  <c r="L234" i="2"/>
  <c r="L250" i="2"/>
  <c r="L277" i="2"/>
  <c r="L285" i="2"/>
  <c r="L306" i="2"/>
  <c r="L331" i="2"/>
  <c r="L345" i="2"/>
  <c r="L377" i="2"/>
  <c r="L390" i="2"/>
  <c r="L427" i="2"/>
  <c r="L497" i="2"/>
  <c r="L523" i="2"/>
  <c r="L567" i="2"/>
  <c r="L585" i="2"/>
  <c r="L19" i="2"/>
  <c r="L443" i="2"/>
  <c r="L517" i="2"/>
  <c r="L520" i="2"/>
  <c r="L26" i="2"/>
  <c r="L25" i="2"/>
  <c r="L48" i="2"/>
  <c r="L67" i="2"/>
  <c r="L71" i="2"/>
  <c r="L86" i="2"/>
  <c r="L90" i="2"/>
  <c r="L153" i="2"/>
  <c r="L263" i="2"/>
  <c r="L286" i="2"/>
  <c r="L290" i="2"/>
  <c r="L301" i="2"/>
  <c r="L309" i="2"/>
  <c r="L322" i="2"/>
  <c r="L318" i="2"/>
  <c r="L346" i="2"/>
  <c r="L359" i="2"/>
  <c r="L395" i="2"/>
  <c r="L428" i="2"/>
  <c r="L435" i="2"/>
  <c r="L502" i="2"/>
  <c r="L561" i="2"/>
  <c r="L565" i="2"/>
  <c r="L60" i="2"/>
  <c r="L83" i="2"/>
  <c r="L87" i="2"/>
  <c r="L312" i="2"/>
  <c r="L323" i="2"/>
  <c r="L321" i="2"/>
  <c r="L356" i="2"/>
  <c r="L360" i="2"/>
  <c r="L408" i="2"/>
  <c r="L411" i="2"/>
  <c r="L429" i="2"/>
  <c r="L479" i="2"/>
  <c r="L537" i="2"/>
  <c r="L260" i="2"/>
  <c r="L328" i="2"/>
  <c r="L347" i="2"/>
  <c r="L348" i="2"/>
  <c r="L342" i="2"/>
  <c r="L464" i="2"/>
  <c r="L350" i="2"/>
  <c r="L343" i="2"/>
  <c r="L341" i="2"/>
  <c r="L329" i="2"/>
  <c r="L330" i="2"/>
  <c r="L552" i="2"/>
  <c r="L551" i="2"/>
  <c r="L544" i="2"/>
  <c r="L477" i="2"/>
  <c r="L271" i="2"/>
  <c r="L228" i="2"/>
  <c r="L126" i="2"/>
  <c r="L75" i="2"/>
  <c r="L568" i="2"/>
  <c r="L495" i="2"/>
  <c r="L476" i="2"/>
  <c r="L474" i="2"/>
  <c r="L249" i="2"/>
  <c r="L244" i="2"/>
  <c r="L227" i="2"/>
  <c r="L173" i="2"/>
  <c r="L125" i="2"/>
  <c r="L96" i="2"/>
  <c r="L80" i="2"/>
  <c r="L73" i="2"/>
  <c r="L64" i="2"/>
  <c r="L22" i="2"/>
  <c r="L12" i="2"/>
  <c r="L13" i="2"/>
  <c r="L24" i="2"/>
  <c r="L49" i="2"/>
  <c r="L56" i="2"/>
  <c r="L65" i="2"/>
  <c r="L72" i="2"/>
  <c r="L81" i="2"/>
  <c r="L88" i="2"/>
  <c r="L112" i="2"/>
  <c r="L149" i="2"/>
  <c r="L237" i="2"/>
  <c r="L253" i="2"/>
  <c r="L10" i="2"/>
  <c r="L351" i="2"/>
  <c r="L62" i="2"/>
  <c r="L78" i="2"/>
  <c r="L94" i="2"/>
  <c r="L98" i="2"/>
  <c r="L118" i="2"/>
  <c r="L275" i="2"/>
  <c r="L299" i="2"/>
  <c r="L314" i="2"/>
  <c r="L9" i="2"/>
  <c r="L14" i="2"/>
  <c r="L16" i="2"/>
  <c r="L50" i="2"/>
  <c r="L52" i="2"/>
  <c r="L61" i="2"/>
  <c r="L66" i="2"/>
  <c r="L68" i="2"/>
  <c r="L77" i="2"/>
  <c r="L82" i="2"/>
  <c r="L84" i="2"/>
  <c r="L93" i="2"/>
  <c r="L95" i="2"/>
  <c r="L102" i="2"/>
  <c r="L155" i="2"/>
  <c r="L184" i="2"/>
  <c r="L195" i="2"/>
  <c r="L199" i="2"/>
  <c r="L242" i="2"/>
  <c r="L270" i="2"/>
  <c r="L296" i="2"/>
  <c r="L344" i="2"/>
  <c r="L374" i="2"/>
  <c r="L421" i="2"/>
  <c r="L448" i="2"/>
  <c r="L510" i="2"/>
  <c r="L546" i="2"/>
  <c r="L101" i="2"/>
  <c r="L106" i="2"/>
  <c r="L108" i="2"/>
  <c r="L117" i="2"/>
  <c r="L122" i="2"/>
  <c r="L124" i="2"/>
  <c r="L148" i="2"/>
  <c r="L169" i="2"/>
  <c r="L181" i="2"/>
  <c r="L183" i="2"/>
  <c r="L188" i="2"/>
  <c r="L198" i="2"/>
  <c r="L201" i="2"/>
  <c r="L224" i="2"/>
  <c r="L226" i="2"/>
  <c r="L235" i="2"/>
  <c r="L248" i="2"/>
  <c r="L252" i="2"/>
  <c r="L267" i="2"/>
  <c r="L269" i="2"/>
  <c r="L288" i="2"/>
  <c r="L295" i="2"/>
  <c r="L298" i="2"/>
  <c r="L304" i="2"/>
  <c r="L315" i="2"/>
  <c r="L319" i="2"/>
  <c r="L305" i="2"/>
  <c r="L311" i="2"/>
  <c r="L332" i="2"/>
  <c r="L358" i="2"/>
  <c r="L362" i="2"/>
  <c r="L365" i="2"/>
  <c r="L447" i="2"/>
  <c r="L450" i="2"/>
  <c r="L452" i="2"/>
  <c r="L466" i="2"/>
  <c r="L490" i="2"/>
  <c r="L492" i="2"/>
  <c r="L505" i="2"/>
  <c r="L509" i="2"/>
  <c r="L512" i="2"/>
  <c r="L121" i="2"/>
  <c r="L151" i="2"/>
  <c r="L174" i="2"/>
  <c r="L179" i="2"/>
  <c r="L204" i="2"/>
  <c r="L223" i="2"/>
  <c r="L240" i="2"/>
  <c r="L259" i="2"/>
  <c r="L284" i="2"/>
  <c r="L287" i="2"/>
  <c r="L324" i="2"/>
  <c r="L349" i="2"/>
  <c r="L357" i="2"/>
  <c r="L386" i="2"/>
  <c r="L394" i="2"/>
  <c r="L407" i="2"/>
  <c r="L422" i="2"/>
  <c r="L433" i="2"/>
  <c r="L445" i="2"/>
  <c r="L451" i="2"/>
  <c r="L475" i="2"/>
  <c r="L501" i="2"/>
  <c r="L504" i="2"/>
  <c r="L516" i="2"/>
  <c r="L524" i="2"/>
  <c r="L538" i="2"/>
  <c r="L560" i="2"/>
  <c r="L569" i="2"/>
  <c r="L579" i="2"/>
  <c r="L586" i="2"/>
  <c r="L454" i="2"/>
  <c r="L438" i="2"/>
  <c r="L465" i="2"/>
  <c r="L493" i="2"/>
  <c r="L496" i="2"/>
  <c r="L508" i="2"/>
  <c r="L29" i="2" l="1"/>
  <c r="AI1" i="2"/>
  <c r="L521" i="2" l="1"/>
  <c r="L333" i="2" l="1"/>
  <c r="L243" i="2" l="1"/>
  <c r="L436" i="2" l="1"/>
  <c r="AA1" i="2"/>
  <c r="AD1" i="2" l="1"/>
  <c r="L409" i="2" l="1"/>
  <c r="AE1" i="2"/>
  <c r="L17" i="2" l="1"/>
  <c r="N3" i="2" l="1"/>
  <c r="M3" i="2"/>
  <c r="M1" i="2" l="1"/>
  <c r="N1" i="2"/>
  <c r="L40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5 de agosto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12457370-AAB1-4F86-9C6E-D44A9F90BECC}" name="25 de agosto1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0000000-0015-0000-FFFF-FFFF01000000}" keepAlive="1" name="Consulta - Tabla3" description="Conexión a la consulta 'Tabla3' en el libro." type="5" refreshedVersion="7" background="1" saveData="1">
    <dbPr connection="Provider=Microsoft.Mashup.OleDb.1;Data Source=$Workbook$;Location=Tabla3;Extended Properties=&quot;&quot;" command="SELECT * FROM [Tabla3]"/>
  </connection>
</connections>
</file>

<file path=xl/sharedStrings.xml><?xml version="1.0" encoding="utf-8"?>
<sst xmlns="http://schemas.openxmlformats.org/spreadsheetml/2006/main" count="6128" uniqueCount="2367">
  <si>
    <t>CANTIDAD DE CAMARAS</t>
  </si>
  <si>
    <t>PORCIENTO DE CAIDAS</t>
  </si>
  <si>
    <t>DIAS FUNCIONANDO</t>
  </si>
  <si>
    <t>DIAS CAIDA</t>
  </si>
  <si>
    <t>EFECTIVIDAD</t>
  </si>
  <si>
    <t>FUNCIONAN</t>
  </si>
  <si>
    <t>CAIDAS</t>
  </si>
  <si>
    <t>Barrio</t>
  </si>
  <si>
    <t>[Denominacion]</t>
  </si>
  <si>
    <t>[Ubicacion]</t>
  </si>
  <si>
    <t>[Tipo de Camara]</t>
  </si>
  <si>
    <t>[Tipo de Conexion]</t>
  </si>
  <si>
    <t>PRESIDENTE PERON (PEPSI)</t>
  </si>
  <si>
    <t>MAR 01</t>
  </si>
  <si>
    <t>RP36 Y LA ESMERALDA</t>
  </si>
  <si>
    <t>DOMO</t>
  </si>
  <si>
    <t>MAYOL</t>
  </si>
  <si>
    <t>MAY 01</t>
  </si>
  <si>
    <t>Domo</t>
  </si>
  <si>
    <t>Radio</t>
  </si>
  <si>
    <t>MAY 02</t>
  </si>
  <si>
    <t>EVA PERON Y MONTEVIDEO</t>
  </si>
  <si>
    <t>MAY 03</t>
  </si>
  <si>
    <t>MAY 04</t>
  </si>
  <si>
    <t>MAR CHIQUITA Y RIO JACHAL</t>
  </si>
  <si>
    <t>ALTAMIRA</t>
  </si>
  <si>
    <t>LOPE DE VEGA Y NECOCHEA</t>
  </si>
  <si>
    <t>Fibra Optica</t>
  </si>
  <si>
    <t>ALT01</t>
  </si>
  <si>
    <t>Calchaqui y Sgto. Cabral</t>
  </si>
  <si>
    <t>ALT02</t>
  </si>
  <si>
    <t>Calchaqui y Lope de Vega</t>
  </si>
  <si>
    <t>Bombero Galarza y Necochea</t>
  </si>
  <si>
    <t>Francia y Necochea</t>
  </si>
  <si>
    <t>ALT05</t>
  </si>
  <si>
    <t>Av. Calchaqui y Bombero Galarza</t>
  </si>
  <si>
    <t>ALT07</t>
  </si>
  <si>
    <t>AV. CALCHAQUI Y AV. DEL TRABAJO</t>
  </si>
  <si>
    <t>HUMAITA Y NECOCHEA</t>
  </si>
  <si>
    <t>NECOCHEA Y CURUPAITY</t>
  </si>
  <si>
    <t>AGUSTIN RAMIREZ</t>
  </si>
  <si>
    <t>Malambo y Tranquera</t>
  </si>
  <si>
    <t>BELGRANO</t>
  </si>
  <si>
    <t>San Martin y Dardo Rocha</t>
  </si>
  <si>
    <t>ILLIA Y LAS HERAS</t>
  </si>
  <si>
    <t>FIJA</t>
  </si>
  <si>
    <t>GUTIERREZ Y BROWN</t>
  </si>
  <si>
    <t>CEN 54</t>
  </si>
  <si>
    <t>GUTIERREZ Y PRINGLES</t>
  </si>
  <si>
    <t>CEN 55</t>
  </si>
  <si>
    <t>BOUREL Y URQUIZA</t>
  </si>
  <si>
    <t>CENTRO</t>
  </si>
  <si>
    <t>CEN 56</t>
  </si>
  <si>
    <t>Newbery y Falucho</t>
  </si>
  <si>
    <t>CEN 57</t>
  </si>
  <si>
    <t>25 DE MAYO Y DORREGO</t>
  </si>
  <si>
    <t>CEN 58</t>
  </si>
  <si>
    <t>EEUU Y MORENO</t>
  </si>
  <si>
    <t>CHACABUCO Y BOUREL</t>
  </si>
  <si>
    <t>CEN 60</t>
  </si>
  <si>
    <t>RECONQUISTA Y ILLIA</t>
  </si>
  <si>
    <t>CEN 61</t>
  </si>
  <si>
    <t>BOUREL Y MAIPU</t>
  </si>
  <si>
    <t>SAN MARTIN Y URQUIZA</t>
  </si>
  <si>
    <t>CEN 70</t>
  </si>
  <si>
    <t>RIVADAVIA Y 25 MAYO</t>
  </si>
  <si>
    <t>CEN 71</t>
  </si>
  <si>
    <t>MORENO Y BOUREL</t>
  </si>
  <si>
    <t>CEN 72</t>
  </si>
  <si>
    <t>MORENO Y 25 DE MAYO</t>
  </si>
  <si>
    <t>San Martin y 9 de Julio</t>
  </si>
  <si>
    <t>Fija</t>
  </si>
  <si>
    <t>San Martin y Almafuerte</t>
  </si>
  <si>
    <t>San Martin y Sallares</t>
  </si>
  <si>
    <t>San Martin y Contreras</t>
  </si>
  <si>
    <t>Monteagudo y A.del Valle</t>
  </si>
  <si>
    <t>Chacabuco y 25 de Mayo</t>
  </si>
  <si>
    <t>CEN11</t>
  </si>
  <si>
    <t>Monteagudo y Bocuzzi</t>
  </si>
  <si>
    <t>Monteagudo y Mitre</t>
  </si>
  <si>
    <t>25 de Mayo y Maipu</t>
  </si>
  <si>
    <t>CEN14</t>
  </si>
  <si>
    <t>CEN15</t>
  </si>
  <si>
    <t>Alberdi y A.del Valle</t>
  </si>
  <si>
    <t>CEN16</t>
  </si>
  <si>
    <t>San Martin y Pte. Peron</t>
  </si>
  <si>
    <t>CEN17</t>
  </si>
  <si>
    <t>San Martin y Mitre</t>
  </si>
  <si>
    <t>CEN18</t>
  </si>
  <si>
    <t>Monteagudo e/Mitre y Sallares</t>
  </si>
  <si>
    <t>CEN19</t>
  </si>
  <si>
    <t>LOMAS DE MONTEVERDE</t>
  </si>
  <si>
    <t>CEN20</t>
  </si>
  <si>
    <t>Pte. Illia y Las Heras</t>
  </si>
  <si>
    <t>CEN21</t>
  </si>
  <si>
    <t>Misiones y Urquiza</t>
  </si>
  <si>
    <t>CEN22</t>
  </si>
  <si>
    <t>Las Heras y Chacabuco</t>
  </si>
  <si>
    <t>CEN23</t>
  </si>
  <si>
    <t>Sallares y Monteagudo</t>
  </si>
  <si>
    <t>CEN24</t>
  </si>
  <si>
    <t>CEN25</t>
  </si>
  <si>
    <t>SAN MARTIN Y 9 DE JULIO</t>
  </si>
  <si>
    <t>CEN26</t>
  </si>
  <si>
    <t>CEN27</t>
  </si>
  <si>
    <t>CEN28</t>
  </si>
  <si>
    <t>Mitre y Alberdi</t>
  </si>
  <si>
    <t>CEN29</t>
  </si>
  <si>
    <t>Alberdi y San Juan</t>
  </si>
  <si>
    <t>CEN30</t>
  </si>
  <si>
    <t>Mitre y Pringles</t>
  </si>
  <si>
    <t>CEN31</t>
  </si>
  <si>
    <t>Mitre e/Monteagudo y Alberdi</t>
  </si>
  <si>
    <t>CEN32</t>
  </si>
  <si>
    <t>CEN33</t>
  </si>
  <si>
    <t>Peron y Alberdi</t>
  </si>
  <si>
    <t>CEN34</t>
  </si>
  <si>
    <t>CEN35</t>
  </si>
  <si>
    <t>CEN36</t>
  </si>
  <si>
    <t>Diagonal Granaderos y Monteagudo</t>
  </si>
  <si>
    <t>CEN38</t>
  </si>
  <si>
    <t>Diagonal Constituyentes y Almafuerte</t>
  </si>
  <si>
    <t>CEN39</t>
  </si>
  <si>
    <t>San Martin y Alem</t>
  </si>
  <si>
    <t>CEN40</t>
  </si>
  <si>
    <t>Contreras y Monteagudo</t>
  </si>
  <si>
    <t>CEN41</t>
  </si>
  <si>
    <t>Contreras y Alberdi</t>
  </si>
  <si>
    <t>CEN42</t>
  </si>
  <si>
    <t>CEN43</t>
  </si>
  <si>
    <t>Sallares y Alberdi</t>
  </si>
  <si>
    <t>CEN44</t>
  </si>
  <si>
    <t>Mitre y Brown</t>
  </si>
  <si>
    <t>CEN47</t>
  </si>
  <si>
    <t>Sallares y Brown</t>
  </si>
  <si>
    <t>CEN48</t>
  </si>
  <si>
    <t>Velez Sarsfield y Las Heras</t>
  </si>
  <si>
    <t>CEN49</t>
  </si>
  <si>
    <t>Av. San Martin y Florencio Sanchez</t>
  </si>
  <si>
    <t>Av. San Martin y Newbery</t>
  </si>
  <si>
    <t>CEN52</t>
  </si>
  <si>
    <t>San Martin y Almafuerte (ex San Martin y Dorrego)</t>
  </si>
  <si>
    <t>CEN64</t>
  </si>
  <si>
    <t>SAN MARTIN Y BOCCUZZI</t>
  </si>
  <si>
    <t>SAN MARTIN Y JUAN PERON</t>
  </si>
  <si>
    <t>CEN66</t>
  </si>
  <si>
    <t>CEN67 (fija 1)</t>
  </si>
  <si>
    <t>9 DE JULIO Y BROWN</t>
  </si>
  <si>
    <t>CEN68 (fija 2)</t>
  </si>
  <si>
    <t>CEN69</t>
  </si>
  <si>
    <t>RIVADAVIA Y BOUREL</t>
  </si>
  <si>
    <t>CEN73</t>
  </si>
  <si>
    <t>BOUREL Y DEFENSA</t>
  </si>
  <si>
    <t>CEN74</t>
  </si>
  <si>
    <t>Las Heras y Maipu</t>
  </si>
  <si>
    <t>SAN NICOLAS</t>
  </si>
  <si>
    <t>CHA01</t>
  </si>
  <si>
    <t>Novak y Pte Illia</t>
  </si>
  <si>
    <t>CHACABUCO</t>
  </si>
  <si>
    <t>CHA02</t>
  </si>
  <si>
    <t>Pte. Illia y Posadas</t>
  </si>
  <si>
    <t>CHA03</t>
  </si>
  <si>
    <t>MAIPU Y ALVAREZ THOMAS</t>
  </si>
  <si>
    <t>CHA04</t>
  </si>
  <si>
    <t>ESTADOS UNIDOS DE A. E ILLIA</t>
  </si>
  <si>
    <t>VILLA MONICA NUEVA</t>
  </si>
  <si>
    <t>Eva Peron y Cariboni</t>
  </si>
  <si>
    <t>LA COLORADA ESTE</t>
  </si>
  <si>
    <t>Av. Eva Peron y Pompeya</t>
  </si>
  <si>
    <t>CARIBONI Y LA ANCIANIDAD</t>
  </si>
  <si>
    <t>Monteverde y Donato Alvarez</t>
  </si>
  <si>
    <t>DON JOSE</t>
  </si>
  <si>
    <t>DONATO ALVAREZ Y EL APERO</t>
  </si>
  <si>
    <t>EL PARQUE</t>
  </si>
  <si>
    <t>1282 Y GRIERSON</t>
  </si>
  <si>
    <t>1282 Y MASSE</t>
  </si>
  <si>
    <t>1282 Y RP 36</t>
  </si>
  <si>
    <t>1282 Y MORENO</t>
  </si>
  <si>
    <t>LA ESMERALDA</t>
  </si>
  <si>
    <t>AV. NOVAK Y SERRANO</t>
  </si>
  <si>
    <t>ESM 08</t>
  </si>
  <si>
    <t>ESM01</t>
  </si>
  <si>
    <t>Cabello y Brasil</t>
  </si>
  <si>
    <t>SAN JORGE</t>
  </si>
  <si>
    <t>ESM02</t>
  </si>
  <si>
    <t>Novak y Cabello</t>
  </si>
  <si>
    <t>LIBERTAD</t>
  </si>
  <si>
    <t>ESM03</t>
  </si>
  <si>
    <t>Novak y Humahuaca</t>
  </si>
  <si>
    <t>ESM04</t>
  </si>
  <si>
    <t>Basualdo y Bengochea</t>
  </si>
  <si>
    <t>ESM05</t>
  </si>
  <si>
    <t>Aniceto Diaz y Villar</t>
  </si>
  <si>
    <t>ESM06</t>
  </si>
  <si>
    <t>Roselli y Cabello</t>
  </si>
  <si>
    <t>ESM09 (fija 1)</t>
  </si>
  <si>
    <t>EEUU Y CABELLO</t>
  </si>
  <si>
    <t>ESM10 (fija 2)</t>
  </si>
  <si>
    <t>ESM11 (fija 1)</t>
  </si>
  <si>
    <t>NOVAK Y LAMBARDI</t>
  </si>
  <si>
    <t>ESM12 (fija 2)</t>
  </si>
  <si>
    <t>INGENIERO ALLAN</t>
  </si>
  <si>
    <t>1138 Y 1155</t>
  </si>
  <si>
    <t>1144 Y 1155</t>
  </si>
  <si>
    <t>INFICO</t>
  </si>
  <si>
    <t>AV. HUDSON Y CARIBONI</t>
  </si>
  <si>
    <t>KM 26700 (JULIO A. COSTA)</t>
  </si>
  <si>
    <t>KM 07</t>
  </si>
  <si>
    <t>EL ALJIBE E/ EL ZONDA Y DON SEGUNDO SOMBRA</t>
  </si>
  <si>
    <t>LOS CHARRUAS Y BLANDENGUES</t>
  </si>
  <si>
    <t>NOVAK Y LA POSTA</t>
  </si>
  <si>
    <t>KM 10 / UPA 2</t>
  </si>
  <si>
    <t>PLAYA DE ESTACIONAMIENTO INTERNA E/ HOSP. MODULAR Y UPA 11.</t>
  </si>
  <si>
    <t>KM 12 FIJA 1</t>
  </si>
  <si>
    <t>BLANDENGUES Y LA ZAMBA</t>
  </si>
  <si>
    <t>KM 13 FIJA 2</t>
  </si>
  <si>
    <t>VILLA ARGENTINA</t>
  </si>
  <si>
    <t>KM01</t>
  </si>
  <si>
    <t>Vias FFCC y La Pulperia</t>
  </si>
  <si>
    <t>KM02</t>
  </si>
  <si>
    <t>Novak e/El Overo y el Mangrullo</t>
  </si>
  <si>
    <t>KM03</t>
  </si>
  <si>
    <t>Novak y La Pulperia</t>
  </si>
  <si>
    <t>KM04</t>
  </si>
  <si>
    <t>El Ombu y El Zonda</t>
  </si>
  <si>
    <t>KM05</t>
  </si>
  <si>
    <t>El Ombu y Los Charruas</t>
  </si>
  <si>
    <t>KM06</t>
  </si>
  <si>
    <t>El Ombu y La Cautiva</t>
  </si>
  <si>
    <t>KM11</t>
  </si>
  <si>
    <t>NOVAK Y EL OVERO</t>
  </si>
  <si>
    <t>EL GAUCHO Y EL ZONDA</t>
  </si>
  <si>
    <t>EL GAUCHO Y MARTIN FIERRO</t>
  </si>
  <si>
    <t>LDM 01</t>
  </si>
  <si>
    <t>ILLIA Y BOUREL</t>
  </si>
  <si>
    <t>LDM 02</t>
  </si>
  <si>
    <t>LAS HERAS Y EDISON</t>
  </si>
  <si>
    <t>LDM 03</t>
  </si>
  <si>
    <t>LAS HERAS Y FRANKLIN</t>
  </si>
  <si>
    <t>LPI02</t>
  </si>
  <si>
    <t>EE.UU y Ayacucho</t>
  </si>
  <si>
    <t>LA PILETA</t>
  </si>
  <si>
    <t>LPI03 (fija 2)</t>
  </si>
  <si>
    <t>MAIPU Y POSADAS</t>
  </si>
  <si>
    <t>LPI04 (fija 1)</t>
  </si>
  <si>
    <t>LOS PILARES</t>
  </si>
  <si>
    <t>EVA PERON E/ CACHEUTA Y 1406</t>
  </si>
  <si>
    <t>LPR02 (fija 1)</t>
  </si>
  <si>
    <t>EVA PERON Y CACHEUTA</t>
  </si>
  <si>
    <t>LPR03 (fija 2)</t>
  </si>
  <si>
    <t>H. IRIGOYEN Y BRAILE</t>
  </si>
  <si>
    <t>PRESIDENTE SARMIENTO</t>
  </si>
  <si>
    <t>LRO02</t>
  </si>
  <si>
    <t>H. Irigoyen e Islas Orcadas</t>
  </si>
  <si>
    <t>LOPEZ ROMERO</t>
  </si>
  <si>
    <t>LRO03</t>
  </si>
  <si>
    <t>H. Irigoyen y Parravicini</t>
  </si>
  <si>
    <t>LRO04</t>
  </si>
  <si>
    <t>H. Irigoyen y Alvarado</t>
  </si>
  <si>
    <t>Calchaqui y Las Americas</t>
  </si>
  <si>
    <t>LRO06</t>
  </si>
  <si>
    <t>H. Irigoyen y Belgrano</t>
  </si>
  <si>
    <t>LRO07</t>
  </si>
  <si>
    <t>H. Irigoyen y Remedios de Escalada</t>
  </si>
  <si>
    <t>LRO08</t>
  </si>
  <si>
    <t>Remedios de Escalada y Finochieto</t>
  </si>
  <si>
    <t>Con. Gral. Belgrano y Balcarce</t>
  </si>
  <si>
    <t>LRO11</t>
  </si>
  <si>
    <t>Av. Yrigoyen y Braile</t>
  </si>
  <si>
    <t>LAS AMERICAS E/ BRAILLE Y ALVARADO</t>
  </si>
  <si>
    <t>LRO14</t>
  </si>
  <si>
    <t>YRIGOYEN Y STORNI</t>
  </si>
  <si>
    <t>LUJ 02</t>
  </si>
  <si>
    <t>DIAG. LOS TILOS Y 527</t>
  </si>
  <si>
    <t>LUJAN</t>
  </si>
  <si>
    <t>LUJ03</t>
  </si>
  <si>
    <t>LOS PINOS Y LOS TILOS</t>
  </si>
  <si>
    <t>MARTIN FIERRO</t>
  </si>
  <si>
    <t>Belgrano y Sgto. Cabral</t>
  </si>
  <si>
    <t>MFI02</t>
  </si>
  <si>
    <t>Calchaqui y Balcarce</t>
  </si>
  <si>
    <t>SAN EMILIO</t>
  </si>
  <si>
    <t>Cno. Gral. Belgrano y Av. del Trabajo</t>
  </si>
  <si>
    <t>MFI04</t>
  </si>
  <si>
    <t>Calchaqui y balcarce</t>
  </si>
  <si>
    <t>Cno. Gral. Belgrano y Guayaquil</t>
  </si>
  <si>
    <t>MFI06</t>
  </si>
  <si>
    <t>Con. Gral. Belgrano y Bombero Galarza</t>
  </si>
  <si>
    <t>GOBERNADOR MONTEVERDE</t>
  </si>
  <si>
    <t>MON01</t>
  </si>
  <si>
    <t>San Martin y Patricias Argentinas</t>
  </si>
  <si>
    <t>MON02</t>
  </si>
  <si>
    <t>Senzabello y Famatina</t>
  </si>
  <si>
    <t>MON03</t>
  </si>
  <si>
    <t>Senzabello y Guemes</t>
  </si>
  <si>
    <t>MON04</t>
  </si>
  <si>
    <t>Av. Yrigoyen y San Lorenzo</t>
  </si>
  <si>
    <t>9 DE JULIO</t>
  </si>
  <si>
    <t>NJU 08</t>
  </si>
  <si>
    <t>BOCCUZZI Y O HIGGINS</t>
  </si>
  <si>
    <t>Sallares y Parrillo</t>
  </si>
  <si>
    <t>NJU02</t>
  </si>
  <si>
    <t>Ituzaingo y Boccuzzi</t>
  </si>
  <si>
    <t>NJU03</t>
  </si>
  <si>
    <t>San Juan y Parrillo</t>
  </si>
  <si>
    <t>NJU04</t>
  </si>
  <si>
    <t>Ituzaingo y 214 A</t>
  </si>
  <si>
    <t>ZEBALLOS CENTRO</t>
  </si>
  <si>
    <t>NJU05</t>
  </si>
  <si>
    <t>Ituzaingo y Alem</t>
  </si>
  <si>
    <t>NJU06</t>
  </si>
  <si>
    <t>Sallares y Rodo</t>
  </si>
  <si>
    <t>NJU07</t>
  </si>
  <si>
    <t>Gral. Juan Domingo Peron y Parrillo</t>
  </si>
  <si>
    <t>NJU09</t>
  </si>
  <si>
    <t>PARRILLO Y CONTRERAS</t>
  </si>
  <si>
    <t>PCO 01</t>
  </si>
  <si>
    <t>CEMENTERIO</t>
  </si>
  <si>
    <t>PICO DE ORO</t>
  </si>
  <si>
    <t>PCO02 (fija 1)</t>
  </si>
  <si>
    <t>SICILIA E/ VIENA Y VARSOVIA</t>
  </si>
  <si>
    <t>PCO03 (fija 2)</t>
  </si>
  <si>
    <t>PCO04 (fija 1)</t>
  </si>
  <si>
    <t>BERNA Y POLONIA</t>
  </si>
  <si>
    <t>PCO05 (fija 2)</t>
  </si>
  <si>
    <t>DARDO ROCHA Y GABRIELA MISTRAL</t>
  </si>
  <si>
    <t>PUNTO SEGURO - AGUSTIN RAMIREZ (domo)</t>
  </si>
  <si>
    <t>EL MALAMBO Y LA TRANQUERA</t>
  </si>
  <si>
    <t>PUNTO SEGURO - AGUSTIN RAMIREZ (fija)</t>
  </si>
  <si>
    <t>PUNTO SEGURO - EL PARQUE (domo)</t>
  </si>
  <si>
    <t>CALLE 1282 Y 1201</t>
  </si>
  <si>
    <t>PUNTO SEGURO - EL PARQUE (fija)</t>
  </si>
  <si>
    <t>PUNTO SEGURO - ING. ALLAN (domo)</t>
  </si>
  <si>
    <t>DIAG. LOS YAGANES Y 1148</t>
  </si>
  <si>
    <t>PUNTO SEGURO - ING. ALLAN (fija)</t>
  </si>
  <si>
    <t>PUNTO SEGURO - LUJAN (fija)</t>
  </si>
  <si>
    <t>DIAG. LOS TILOS Y LOS ALGARROBOS</t>
  </si>
  <si>
    <t>ZONA RURAL SANTA ROSA</t>
  </si>
  <si>
    <t>PUNTO SEGURO - PICO DE ORO (domo)</t>
  </si>
  <si>
    <t>PISANI Y BULGARIA</t>
  </si>
  <si>
    <t>PUNTO SEGURO - PICO DE ORO (fija)</t>
  </si>
  <si>
    <t>SAN FRANCISCO ESTE (CHICO)</t>
  </si>
  <si>
    <t>RP 53 Y 1332</t>
  </si>
  <si>
    <t>Punto Seguro - San Jorge (Domo)</t>
  </si>
  <si>
    <t>CALLE 523 E/ 554 Y 556</t>
  </si>
  <si>
    <t>Punto Seguro - San Jorge (Fija)</t>
  </si>
  <si>
    <t>SAN RUDECINDO</t>
  </si>
  <si>
    <t>PUNTO SEGURO - SAN RUDECINDO (fija)</t>
  </si>
  <si>
    <t>PUNTO SEGURO - SANTA ROSA (domo)</t>
  </si>
  <si>
    <t>BRUSELAS Y SICILIA</t>
  </si>
  <si>
    <t>PUNTO SEGURO - SANTA ROSA (fija)</t>
  </si>
  <si>
    <t>PUNTO SEGURO LUJAN (domo)</t>
  </si>
  <si>
    <t>EL ROCIO</t>
  </si>
  <si>
    <t>RCO 01</t>
  </si>
  <si>
    <t>AV. LUJAN Y LOBOS</t>
  </si>
  <si>
    <t>AV. LUJAN Y BRANDSEN</t>
  </si>
  <si>
    <t>RCO03 (fija 1)</t>
  </si>
  <si>
    <t>OLAVARRIA Y CONCORDIA</t>
  </si>
  <si>
    <t>RCO04 (fija 2)</t>
  </si>
  <si>
    <t>RCO05 (fija 1)</t>
  </si>
  <si>
    <t>LOBOS Y CHASCOMUS</t>
  </si>
  <si>
    <t>RCO06 (fija 2)</t>
  </si>
  <si>
    <t>RICARDO ROJAS</t>
  </si>
  <si>
    <t>AV. LUJAN Y BRAGADO</t>
  </si>
  <si>
    <t>AV. LUJAN Y DIAG. LOS POETAS</t>
  </si>
  <si>
    <t>RRJ03 (fija 1)</t>
  </si>
  <si>
    <t>RUBEN DARIO E/ FADER Y DIAG. LOS POETAS</t>
  </si>
  <si>
    <t>RRJ04 (fija 2)</t>
  </si>
  <si>
    <t>LUJAN Y RUTA 36</t>
  </si>
  <si>
    <t>SAR01</t>
  </si>
  <si>
    <t>Storni Y Sanchez de Loria</t>
  </si>
  <si>
    <t>SAN EDUARDO</t>
  </si>
  <si>
    <t>SEDU01</t>
  </si>
  <si>
    <t>San Martin y Sperandio</t>
  </si>
  <si>
    <t>SEDU02</t>
  </si>
  <si>
    <t>Curva de Berraymundo</t>
  </si>
  <si>
    <t>VILLA CIRIO</t>
  </si>
  <si>
    <t>SEDU03</t>
  </si>
  <si>
    <t>Av. San Martin y Las Americas</t>
  </si>
  <si>
    <t>SEMI01</t>
  </si>
  <si>
    <t>San Martin y Av. del Trabajo</t>
  </si>
  <si>
    <t>Cno. Gral. Belgrano y Francia</t>
  </si>
  <si>
    <t>SEMI03 (fija 1)</t>
  </si>
  <si>
    <t>GORRITI E/ GALARZA Y LOPE DE VEGA</t>
  </si>
  <si>
    <t>SEMI04 (fija 2)</t>
  </si>
  <si>
    <t>SIR 02</t>
  </si>
  <si>
    <t>Victorino de la Plaza y Argentina</t>
  </si>
  <si>
    <t>SIR 03</t>
  </si>
  <si>
    <t>MONTES Y LONARDI</t>
  </si>
  <si>
    <t>LA SIRENA</t>
  </si>
  <si>
    <t>SIR 04</t>
  </si>
  <si>
    <t>AV. MONTEVERDE Y MORAN</t>
  </si>
  <si>
    <t>SIR 05 (FIJA 01)</t>
  </si>
  <si>
    <t>SIR 06 (FIJA 02)</t>
  </si>
  <si>
    <t>SIR01</t>
  </si>
  <si>
    <t>Moran y Calle 14</t>
  </si>
  <si>
    <t>VILLA AURORA</t>
  </si>
  <si>
    <t>SIR07 (fija 1)</t>
  </si>
  <si>
    <t>MONTEVERDE Y URIBURU</t>
  </si>
  <si>
    <t>SIR08 (fija 2)</t>
  </si>
  <si>
    <t>SIR09 (fija 1)</t>
  </si>
  <si>
    <t>GUIDO SPANO Y MORAN</t>
  </si>
  <si>
    <t>SIR10 (fija 2)</t>
  </si>
  <si>
    <t>SIR11 (fija 1)</t>
  </si>
  <si>
    <t>LARREA Y GUARDIA NACIONAL</t>
  </si>
  <si>
    <t>SIR12 (fija 2)</t>
  </si>
  <si>
    <t>SJO 03</t>
  </si>
  <si>
    <t>517 Y 580</t>
  </si>
  <si>
    <t>SJO 04</t>
  </si>
  <si>
    <t>552 Y 519</t>
  </si>
  <si>
    <t>SJO01</t>
  </si>
  <si>
    <t>Calle 554 y 527</t>
  </si>
  <si>
    <t>SJO02</t>
  </si>
  <si>
    <t>Calle 554 y 511</t>
  </si>
  <si>
    <t>SJO05 (fija 1)</t>
  </si>
  <si>
    <t>511 Y 560</t>
  </si>
  <si>
    <t>SJO06 (fija 2)</t>
  </si>
  <si>
    <t>SJO07 (fija 1)</t>
  </si>
  <si>
    <t>503 Y 556</t>
  </si>
  <si>
    <t>SJO08 (fija 2)</t>
  </si>
  <si>
    <t>SANTO TOMAS</t>
  </si>
  <si>
    <t>SJU01</t>
  </si>
  <si>
    <t>Ruta 36 y Pte.Peron</t>
  </si>
  <si>
    <t>SMA 03</t>
  </si>
  <si>
    <t>ROSARIO Y SAN NICOLAS</t>
  </si>
  <si>
    <t>VILLA GENERAL SAN MARTIN</t>
  </si>
  <si>
    <t>SMA 04</t>
  </si>
  <si>
    <t>HUDSON Y MONTEVIDEO</t>
  </si>
  <si>
    <t>SMA 06</t>
  </si>
  <si>
    <t>AV. HUDSON Y RIO IGUAZU</t>
  </si>
  <si>
    <t>SMA 07</t>
  </si>
  <si>
    <t>AV. HUDSON Y RIO TURBIO</t>
  </si>
  <si>
    <t>SMA01</t>
  </si>
  <si>
    <t>Hudson y Montevideo</t>
  </si>
  <si>
    <t>SMA02</t>
  </si>
  <si>
    <t>Hudson y San Nicolas</t>
  </si>
  <si>
    <t>SMA05</t>
  </si>
  <si>
    <t>MONTEVIDEO Y VILLEGAS</t>
  </si>
  <si>
    <t>SNI01 (fija 1)</t>
  </si>
  <si>
    <t>SARRATEA E/ EEUU DE A. Y AGRELO</t>
  </si>
  <si>
    <t>SNI02 (fija 2)</t>
  </si>
  <si>
    <t>SARRATEA Y LOS TREBOLES</t>
  </si>
  <si>
    <t>SANTA ROSA</t>
  </si>
  <si>
    <t>CAFFERATA Y BONN</t>
  </si>
  <si>
    <t>Novak y Bonn</t>
  </si>
  <si>
    <t>NOVAK Y BELGICA</t>
  </si>
  <si>
    <t>SRO 08</t>
  </si>
  <si>
    <t>NOVAK E/ DESSY Y BELGICA (POLIDEPORTIVO LA PATRIADA)</t>
  </si>
  <si>
    <t>BUCAREST E/ ALEMANIA Y CAFFERATA</t>
  </si>
  <si>
    <t>DINAMARCA Y MILAN</t>
  </si>
  <si>
    <t>ANDORRA E/ BELGICA Y SAN MARINO</t>
  </si>
  <si>
    <t>SRO01</t>
  </si>
  <si>
    <t>SRO02</t>
  </si>
  <si>
    <t>SRO03</t>
  </si>
  <si>
    <t>Eva Peron y Paysandu</t>
  </si>
  <si>
    <t>Belgica y Andorra</t>
  </si>
  <si>
    <t>MILAN Y MALLORCA</t>
  </si>
  <si>
    <t>SRO12</t>
  </si>
  <si>
    <t>YUGOSLAVIA Y PAYSANDU</t>
  </si>
  <si>
    <t>BRUSELAS E/ GRECIA Y CHECOSLOVAQUIA</t>
  </si>
  <si>
    <t>SRO15</t>
  </si>
  <si>
    <t>NOVAK Y TIRANA (614)</t>
  </si>
  <si>
    <t>GRAN CANARIA Y BUDAPEST</t>
  </si>
  <si>
    <t>SRU01 (fija 1)</t>
  </si>
  <si>
    <t>HERNANDARIAS Y AMBATO</t>
  </si>
  <si>
    <t>SRU02 (fija 2)</t>
  </si>
  <si>
    <t>VILLA ANGELICA</t>
  </si>
  <si>
    <t>VANG01</t>
  </si>
  <si>
    <t>VANG02</t>
  </si>
  <si>
    <t>Thevenet y Ruta 36</t>
  </si>
  <si>
    <t>VILLA DEL PLATA</t>
  </si>
  <si>
    <t>VANG03</t>
  </si>
  <si>
    <t>Thevenet 1950</t>
  </si>
  <si>
    <t>VANG04</t>
  </si>
  <si>
    <t>Storni e/Thevenet y Calle 158</t>
  </si>
  <si>
    <t>VANG05</t>
  </si>
  <si>
    <t>Storni y Thevenet</t>
  </si>
  <si>
    <t>VANG06</t>
  </si>
  <si>
    <t>Arenales e/Thevenet y Calle 158</t>
  </si>
  <si>
    <t>VANG07</t>
  </si>
  <si>
    <t>Arenales y Thevenet</t>
  </si>
  <si>
    <t>VANG08</t>
  </si>
  <si>
    <t>Calle 158 al 2200</t>
  </si>
  <si>
    <t>Ruta 36 y Senzabello</t>
  </si>
  <si>
    <t>VAR 01</t>
  </si>
  <si>
    <t>Calle 519 y 546</t>
  </si>
  <si>
    <t>VAR 02</t>
  </si>
  <si>
    <t>DIAGONAL LOS TILOS Y 542</t>
  </si>
  <si>
    <t>VAR03 (fija 1)</t>
  </si>
  <si>
    <t>509 y 546</t>
  </si>
  <si>
    <t>VAR04 (fija 2)</t>
  </si>
  <si>
    <t>VAR05 (fija 1)</t>
  </si>
  <si>
    <t>511 E/ 544 Y 546</t>
  </si>
  <si>
    <t>VAR06 (fija 2)</t>
  </si>
  <si>
    <t>VAR07</t>
  </si>
  <si>
    <t>DIAG. LOS TILOS Y 517</t>
  </si>
  <si>
    <t>534 Y 523</t>
  </si>
  <si>
    <t>VAR10 (fija 1)</t>
  </si>
  <si>
    <t>532 A Y 523</t>
  </si>
  <si>
    <t>VAR11 (fija 2)</t>
  </si>
  <si>
    <t>12 DE OCTUBRE Y CHACO</t>
  </si>
  <si>
    <t>VILLA VATTEONE CENTRO</t>
  </si>
  <si>
    <t>Av.12 de Octubre y Belgrano</t>
  </si>
  <si>
    <t>VAT 15</t>
  </si>
  <si>
    <t>CORRIENTES Y VICENTE LOPEZ</t>
  </si>
  <si>
    <t>VILLA VATTEONE</t>
  </si>
  <si>
    <t>VAT 16</t>
  </si>
  <si>
    <t>MONTEVIDEO Y CHACO</t>
  </si>
  <si>
    <t>VAT 17</t>
  </si>
  <si>
    <t>LAVALLE Y FONROUGE</t>
  </si>
  <si>
    <t>QUINTANA Y FONROUGE ( TUCUMAN )</t>
  </si>
  <si>
    <t>VAT 20</t>
  </si>
  <si>
    <t>URUGUAY Y PILCOMAYO</t>
  </si>
  <si>
    <t>VAT01</t>
  </si>
  <si>
    <t>VAT02</t>
  </si>
  <si>
    <t>VAT03</t>
  </si>
  <si>
    <t>Lavalle y Belgrano</t>
  </si>
  <si>
    <t>VAT04</t>
  </si>
  <si>
    <t>Lavalle y Entre Rios</t>
  </si>
  <si>
    <t>VAT05</t>
  </si>
  <si>
    <t>Lavalle y Colombia</t>
  </si>
  <si>
    <t>VAT06</t>
  </si>
  <si>
    <t>VAT07</t>
  </si>
  <si>
    <t>VAT08</t>
  </si>
  <si>
    <t>12 de Octubre y Florida</t>
  </si>
  <si>
    <t>VAT09</t>
  </si>
  <si>
    <t>Montevideo y Alsina</t>
  </si>
  <si>
    <t>Belgrano y Quintana</t>
  </si>
  <si>
    <t>VAT11</t>
  </si>
  <si>
    <t>Mainini y Montevideo</t>
  </si>
  <si>
    <t>FLORIDA Y MONTEVIDEO</t>
  </si>
  <si>
    <t>QUINTANA E/ BELGRANO Y FONROUGE</t>
  </si>
  <si>
    <t>VAT23 (fija 1)</t>
  </si>
  <si>
    <t>EVA PERON Y "EL TUNEL" (BAJO NIVEL)</t>
  </si>
  <si>
    <t>VAT24 (fija 2)</t>
  </si>
  <si>
    <t>VAU 07</t>
  </si>
  <si>
    <t>VICTORINO DE LA PLAZA Y MONTEVERDE</t>
  </si>
  <si>
    <t>San Martin y Monteverde</t>
  </si>
  <si>
    <t>San Martin y Lope de Vega</t>
  </si>
  <si>
    <t>VAU03 (fija 1)</t>
  </si>
  <si>
    <t>PIZZURNO Y NUESTRAS MALVINAS</t>
  </si>
  <si>
    <t>VAU04 (fija 2)</t>
  </si>
  <si>
    <t>VAU05 (fija 1)</t>
  </si>
  <si>
    <t>GUIDO SPANO Y VICTORINO DE LA PLAZA</t>
  </si>
  <si>
    <t>VAU06 (fija 2)</t>
  </si>
  <si>
    <t>VAU08</t>
  </si>
  <si>
    <t>MONTEVERDE Y WASHINGTON</t>
  </si>
  <si>
    <t>VDPL02</t>
  </si>
  <si>
    <t>Thevenet y Berutti</t>
  </si>
  <si>
    <t>VDPL03</t>
  </si>
  <si>
    <t>Neuquen y Alvarado</t>
  </si>
  <si>
    <t>VDPL04</t>
  </si>
  <si>
    <t>Neuquen y Diagonal Guemes</t>
  </si>
  <si>
    <t>VDPL05</t>
  </si>
  <si>
    <t>Ruta 36 y Abraham</t>
  </si>
  <si>
    <t>VDPL06</t>
  </si>
  <si>
    <t>Thevenet e/ Islas Orcadas y Gardel</t>
  </si>
  <si>
    <t>VILLA HUDSON</t>
  </si>
  <si>
    <t>VHS 01</t>
  </si>
  <si>
    <t>AV. HUDSON Y AV. LUJAN</t>
  </si>
  <si>
    <t>AV. LUJAN Y CALLE 909 A</t>
  </si>
  <si>
    <t>AV. HUDSON Y LOS INMIGRANTES</t>
  </si>
  <si>
    <t>VILLA ARIAS</t>
  </si>
  <si>
    <t>820 Y SOLER</t>
  </si>
  <si>
    <t>ESPORA Y HUDSON</t>
  </si>
  <si>
    <t>VLA03 (fija 2)</t>
  </si>
  <si>
    <t>820 y SOLER</t>
  </si>
  <si>
    <t>VLA04</t>
  </si>
  <si>
    <t>ESPORA Y MARTIN GRASS</t>
  </si>
  <si>
    <t>VLA05</t>
  </si>
  <si>
    <t>ESPORA Y 802</t>
  </si>
  <si>
    <t>VMO 02</t>
  </si>
  <si>
    <t>VMO01</t>
  </si>
  <si>
    <t>VILLA MONICA VIEJA</t>
  </si>
  <si>
    <t>VMOV01 (fija 1)</t>
  </si>
  <si>
    <t>ATENAS E/ CAFFERATA Y ALEMANIA</t>
  </si>
  <si>
    <t>ROMA E/ HOLANDA Y CAFFERATA</t>
  </si>
  <si>
    <t>VMOV04 (fija 2)</t>
  </si>
  <si>
    <t>VILLA SAN LUIS</t>
  </si>
  <si>
    <t>VSL 01</t>
  </si>
  <si>
    <t>AV. HUDSON Y CACHEUTA</t>
  </si>
  <si>
    <t>VILLA SUSANA</t>
  </si>
  <si>
    <t>CJAL. JUAN BROWN Y SANTA FE</t>
  </si>
  <si>
    <t>VSU 02</t>
  </si>
  <si>
    <t>CABELLO Y SANTA FE</t>
  </si>
  <si>
    <t>VSU 03</t>
  </si>
  <si>
    <t>EE.UU Y SERRANO</t>
  </si>
  <si>
    <t>ZEB 05</t>
  </si>
  <si>
    <t>DIAG. GRANADEROS Y 214 BIS</t>
  </si>
  <si>
    <t>ZEBALLOS</t>
  </si>
  <si>
    <t>ZEB02</t>
  </si>
  <si>
    <t>Quinquela Martin y Sgo. del Estero</t>
  </si>
  <si>
    <t>ZEB03</t>
  </si>
  <si>
    <t>Quinquela Martin y Pte. Peron</t>
  </si>
  <si>
    <t>ZEB04</t>
  </si>
  <si>
    <t>THEVENET Y DIAGONAL GRANADEROS</t>
  </si>
  <si>
    <t>CHAÑAR Y SAN NICOLAS</t>
  </si>
  <si>
    <t>172.20.10.6</t>
  </si>
  <si>
    <t>172.20.12.218</t>
  </si>
  <si>
    <t>172.20.12.54</t>
  </si>
  <si>
    <t>172.20.12.55</t>
  </si>
  <si>
    <t>172.20.12.216</t>
  </si>
  <si>
    <t>172.20.12.12</t>
  </si>
  <si>
    <t>172.20.11.11</t>
  </si>
  <si>
    <t>172.20.10.57</t>
  </si>
  <si>
    <t>172.20.11.215</t>
  </si>
  <si>
    <t>172.20.11.216</t>
  </si>
  <si>
    <t>172.20.12.110</t>
  </si>
  <si>
    <t>172.20.12.64</t>
  </si>
  <si>
    <t>172.20.11.10</t>
  </si>
  <si>
    <t>172.20.12.30</t>
  </si>
  <si>
    <t>172.20.12.29</t>
  </si>
  <si>
    <t>172.20.10.200</t>
  </si>
  <si>
    <t>172.20.10.02</t>
  </si>
  <si>
    <t>172.20.11.20</t>
  </si>
  <si>
    <t>172.20.11.21</t>
  </si>
  <si>
    <t>172.20.11.22</t>
  </si>
  <si>
    <t>172.20.11.23</t>
  </si>
  <si>
    <t>172.20.10.24</t>
  </si>
  <si>
    <t>172.20.10.23</t>
  </si>
  <si>
    <t>172.20.10.20</t>
  </si>
  <si>
    <t>172.20.10.21</t>
  </si>
  <si>
    <t>172.20.10.35</t>
  </si>
  <si>
    <t>172.20.12.36</t>
  </si>
  <si>
    <t>172.20.12.200</t>
  </si>
  <si>
    <t>172.20.10.26</t>
  </si>
  <si>
    <t>172.20.10.27</t>
  </si>
  <si>
    <t>172.20.10.33</t>
  </si>
  <si>
    <t>172.20.12.05</t>
  </si>
  <si>
    <t>172.20.12.02</t>
  </si>
  <si>
    <t>172.20.12.38</t>
  </si>
  <si>
    <t>172.20.12.40</t>
  </si>
  <si>
    <t>172.20.12.39</t>
  </si>
  <si>
    <t>172.20.12.41</t>
  </si>
  <si>
    <t>172.20.12.42</t>
  </si>
  <si>
    <t>172.20.12.47</t>
  </si>
  <si>
    <t>172.20.12.49</t>
  </si>
  <si>
    <t>172.20.12.50</t>
  </si>
  <si>
    <t>172.20.12.51</t>
  </si>
  <si>
    <t>172.20.12.52</t>
  </si>
  <si>
    <t>172.20.12.53</t>
  </si>
  <si>
    <t>172.20.12.56</t>
  </si>
  <si>
    <t>172.20.12.57</t>
  </si>
  <si>
    <t>172.20.12.58</t>
  </si>
  <si>
    <t>172.20.12.59</t>
  </si>
  <si>
    <t>172.20.12.61</t>
  </si>
  <si>
    <t>172.20.12.62</t>
  </si>
  <si>
    <t>172.20.11.74</t>
  </si>
  <si>
    <t>172.20.11.75</t>
  </si>
  <si>
    <t>172.20.12.65</t>
  </si>
  <si>
    <t>172.20.11.29</t>
  </si>
  <si>
    <t>172.20.11.84</t>
  </si>
  <si>
    <t>172.20.12.67</t>
  </si>
  <si>
    <t>172.20.12.82</t>
  </si>
  <si>
    <t>172.20.11.112</t>
  </si>
  <si>
    <t>172.20.11.134</t>
  </si>
  <si>
    <t>172.20.11.136</t>
  </si>
  <si>
    <t>172.20.11.139</t>
  </si>
  <si>
    <t>172.20.11.131</t>
  </si>
  <si>
    <t>172.20.11.132</t>
  </si>
  <si>
    <t>172.20.11.188</t>
  </si>
  <si>
    <t>172.20.11.189</t>
  </si>
  <si>
    <t>172.20.11.222</t>
  </si>
  <si>
    <t>172.20.11.221</t>
  </si>
  <si>
    <t>172.20.11.220</t>
  </si>
  <si>
    <t>172.20.11.219</t>
  </si>
  <si>
    <t>172.20.11.223</t>
  </si>
  <si>
    <t>172.20.11.53</t>
  </si>
  <si>
    <t>172.20.200.186</t>
  </si>
  <si>
    <t>172.20.11.71</t>
  </si>
  <si>
    <t>172.20.11.191</t>
  </si>
  <si>
    <t>172.20.12.97</t>
  </si>
  <si>
    <t>172.20.12.98</t>
  </si>
  <si>
    <t>172.20.11.170</t>
  </si>
  <si>
    <t>172.20.11.172</t>
  </si>
  <si>
    <t>172.20.11.171</t>
  </si>
  <si>
    <t>172.20.11.46</t>
  </si>
  <si>
    <t>172.20.11.42</t>
  </si>
  <si>
    <t>172.20.12.46</t>
  </si>
  <si>
    <t>172.20.12.48</t>
  </si>
  <si>
    <t>172.20.11.44</t>
  </si>
  <si>
    <t>10.20.30.38</t>
  </si>
  <si>
    <t>172.20.11.76</t>
  </si>
  <si>
    <t>172.20.11.77</t>
  </si>
  <si>
    <t>172.20.11.73</t>
  </si>
  <si>
    <t>172.20.11.173</t>
  </si>
  <si>
    <t>172.20.11.174</t>
  </si>
  <si>
    <t>172.20.11.62</t>
  </si>
  <si>
    <t>172.20.11.70</t>
  </si>
  <si>
    <t>172.20.12.85</t>
  </si>
  <si>
    <t>172.20.12.86</t>
  </si>
  <si>
    <t>172.20.12.94</t>
  </si>
  <si>
    <t>172.20.12.95</t>
  </si>
  <si>
    <t>172.20.12.88</t>
  </si>
  <si>
    <t>172.20.12.89</t>
  </si>
  <si>
    <t>172.20.11.36</t>
  </si>
  <si>
    <t>172.20.11.32</t>
  </si>
  <si>
    <t>172.20.11.72</t>
  </si>
  <si>
    <t>172.20.11.83</t>
  </si>
  <si>
    <t>172.20.11.82</t>
  </si>
  <si>
    <t>172.20.11.81</t>
  </si>
  <si>
    <t>172.20.10.36</t>
  </si>
  <si>
    <t>172.20.10.40</t>
  </si>
  <si>
    <t>172.20.10.38</t>
  </si>
  <si>
    <t>172.20.11.19</t>
  </si>
  <si>
    <t>172.20.10.05</t>
  </si>
  <si>
    <t>172.20.11.24</t>
  </si>
  <si>
    <t>172.20.12.34</t>
  </si>
  <si>
    <t>172.20.11.27</t>
  </si>
  <si>
    <t>172.20.11.145</t>
  </si>
  <si>
    <t>172.20.11.146</t>
  </si>
  <si>
    <t>172.20.11.149</t>
  </si>
  <si>
    <t>172.20.11.196</t>
  </si>
  <si>
    <t>172.20.11.101</t>
  </si>
  <si>
    <t>172.20.10.18</t>
  </si>
  <si>
    <t>10.20.30.34</t>
  </si>
  <si>
    <t>172.20.10.39</t>
  </si>
  <si>
    <t>172.20.10.32</t>
  </si>
  <si>
    <t>172.20.11.28</t>
  </si>
  <si>
    <t>172.20.10.41</t>
  </si>
  <si>
    <t>172.20.10.42</t>
  </si>
  <si>
    <t>172.20.11.14</t>
  </si>
  <si>
    <t>172.20.10.22</t>
  </si>
  <si>
    <t>172.20.10.45</t>
  </si>
  <si>
    <t>172.20.12.60</t>
  </si>
  <si>
    <t>172.20.12.63</t>
  </si>
  <si>
    <t>172.20.11.190</t>
  </si>
  <si>
    <t>172.20.12.70</t>
  </si>
  <si>
    <t>172.20.11.205</t>
  </si>
  <si>
    <t>172.20.11.206</t>
  </si>
  <si>
    <t>172.20.11.199</t>
  </si>
  <si>
    <t>172.20.11.200</t>
  </si>
  <si>
    <t>172.20.11.184</t>
  </si>
  <si>
    <t>172.20.11.185</t>
  </si>
  <si>
    <t>172.20.12.151</t>
  </si>
  <si>
    <t>172.20.12.152</t>
  </si>
  <si>
    <t>172.20.12.139</t>
  </si>
  <si>
    <t>172.20.12.140</t>
  </si>
  <si>
    <t>172.20.12.142</t>
  </si>
  <si>
    <t>172.20.12.143</t>
  </si>
  <si>
    <t>172.20.12.131</t>
  </si>
  <si>
    <t>172.20.12.137</t>
  </si>
  <si>
    <t>172.20.12.136</t>
  </si>
  <si>
    <t>172.20.12.148</t>
  </si>
  <si>
    <t>172.20.12.149</t>
  </si>
  <si>
    <t>172.20.12.101</t>
  </si>
  <si>
    <t>172.20.12.146</t>
  </si>
  <si>
    <t>172.20.12.145</t>
  </si>
  <si>
    <t>172.20.12.130</t>
  </si>
  <si>
    <t>172.20.12.133</t>
  </si>
  <si>
    <t>172.20.12.105</t>
  </si>
  <si>
    <t>172.20.12.106</t>
  </si>
  <si>
    <t>172.20.11.66</t>
  </si>
  <si>
    <t>172.20.11.67</t>
  </si>
  <si>
    <t>172.20.11.155</t>
  </si>
  <si>
    <t>172.20.11.156</t>
  </si>
  <si>
    <t>172.20.11.157</t>
  </si>
  <si>
    <t>172.20.11.158</t>
  </si>
  <si>
    <t>172.20.11.68</t>
  </si>
  <si>
    <t>172.20.11.167</t>
  </si>
  <si>
    <t>172.20.11.168</t>
  </si>
  <si>
    <t>172.20.11.69</t>
  </si>
  <si>
    <t>172.20.11.166</t>
  </si>
  <si>
    <t>172.20.12.31</t>
  </si>
  <si>
    <t>172.20.10.10</t>
  </si>
  <si>
    <t>172.20.10.100</t>
  </si>
  <si>
    <t>172.20.11.180</t>
  </si>
  <si>
    <t>172.20.11.181</t>
  </si>
  <si>
    <t>172.20.10.09</t>
  </si>
  <si>
    <t>172.20.12.109</t>
  </si>
  <si>
    <t>172.20.200.124</t>
  </si>
  <si>
    <t>172.20.11.90</t>
  </si>
  <si>
    <t>172.20.11.91</t>
  </si>
  <si>
    <t>172.20.11.92</t>
  </si>
  <si>
    <t>172.20.11.88</t>
  </si>
  <si>
    <t>172.20.11.89</t>
  </si>
  <si>
    <t>172.20.11.96</t>
  </si>
  <si>
    <t>172.20.11.97</t>
  </si>
  <si>
    <t>172.20.11.94</t>
  </si>
  <si>
    <t>172.20.11.95</t>
  </si>
  <si>
    <t>10.20.30.23</t>
  </si>
  <si>
    <t>10.20.30.24</t>
  </si>
  <si>
    <t>10.20.30.28</t>
  </si>
  <si>
    <t>172.20.11.203</t>
  </si>
  <si>
    <t>172.20.11.204</t>
  </si>
  <si>
    <t>172.20.11.150</t>
  </si>
  <si>
    <t>172.20.11.151</t>
  </si>
  <si>
    <t>172.20.200.160</t>
  </si>
  <si>
    <t>172.20.12.79</t>
  </si>
  <si>
    <t>172.20.11.60</t>
  </si>
  <si>
    <t>172.20.11.61</t>
  </si>
  <si>
    <t>172.20.11.192</t>
  </si>
  <si>
    <t>172.20.11.193</t>
  </si>
  <si>
    <t>172.20.11.194</t>
  </si>
  <si>
    <t>172.20.11.195</t>
  </si>
  <si>
    <t>10.20.30.130</t>
  </si>
  <si>
    <t>10.20.30.40</t>
  </si>
  <si>
    <t>10.20.30.21</t>
  </si>
  <si>
    <t>172.20.12.43</t>
  </si>
  <si>
    <t>172.20.12.45</t>
  </si>
  <si>
    <t>172.20.12.44</t>
  </si>
  <si>
    <t>10.20.30.30</t>
  </si>
  <si>
    <t>172.20.11.197</t>
  </si>
  <si>
    <t>172.20.11.143</t>
  </si>
  <si>
    <t>172.20.11.144</t>
  </si>
  <si>
    <t>172.20.11.207</t>
  </si>
  <si>
    <t>172.20.11.208</t>
  </si>
  <si>
    <t>172.20.11.152</t>
  </si>
  <si>
    <t>172.20.11.153</t>
  </si>
  <si>
    <t>172.20.12.213</t>
  </si>
  <si>
    <t>172.20.12.14</t>
  </si>
  <si>
    <t>172.20.12.20</t>
  </si>
  <si>
    <t>172.20.12.22</t>
  </si>
  <si>
    <t>172.20.12.21</t>
  </si>
  <si>
    <t>172.20.12.23</t>
  </si>
  <si>
    <t>172.20.12.24</t>
  </si>
  <si>
    <t>172.20.12.220</t>
  </si>
  <si>
    <t>172.20.12.217</t>
  </si>
  <si>
    <t>172.20.200.133</t>
  </si>
  <si>
    <t>10.20.30.33</t>
  </si>
  <si>
    <t>10.20.30.42</t>
  </si>
  <si>
    <t>10.20.30.43</t>
  </si>
  <si>
    <t>10.20.30.44</t>
  </si>
  <si>
    <t>10.20.30.45</t>
  </si>
  <si>
    <t>172.20.11.130</t>
  </si>
  <si>
    <t>172.20.11.211</t>
  </si>
  <si>
    <t>172.20.11.212</t>
  </si>
  <si>
    <t>172.20.11.209</t>
  </si>
  <si>
    <t>172.20.11.210</t>
  </si>
  <si>
    <t>172.20.10.34</t>
  </si>
  <si>
    <t>172.20.10.30</t>
  </si>
  <si>
    <t>172.20.10.11</t>
  </si>
  <si>
    <t>172.20.10.12</t>
  </si>
  <si>
    <t>172.20.10.28</t>
  </si>
  <si>
    <t>172.20.11.26</t>
  </si>
  <si>
    <t>172.20.12.25</t>
  </si>
  <si>
    <t>172.20.12.26</t>
  </si>
  <si>
    <t>172.20.12.27</t>
  </si>
  <si>
    <t>172.20.12.28</t>
  </si>
  <si>
    <t>172.20.12.127</t>
  </si>
  <si>
    <t>172.20.12.211</t>
  </si>
  <si>
    <t>172.20.12.71</t>
  </si>
  <si>
    <t>172.20.12.173</t>
  </si>
  <si>
    <t>172.20.12.74</t>
  </si>
  <si>
    <t>172.20.10.15</t>
  </si>
  <si>
    <t>172.20.10.52</t>
  </si>
  <si>
    <t>10.20.30.29</t>
  </si>
  <si>
    <t>172.20.11.142</t>
  </si>
  <si>
    <t>172.20.11.141</t>
  </si>
  <si>
    <t>172.20.11.140</t>
  </si>
  <si>
    <t>172.20.11.182</t>
  </si>
  <si>
    <t>172.20.11.183</t>
  </si>
  <si>
    <t>172.20.10.07</t>
  </si>
  <si>
    <t>172.20.10.08</t>
  </si>
  <si>
    <t>172.20.11.98</t>
  </si>
  <si>
    <t>172.20.11.99</t>
  </si>
  <si>
    <t>172.20.11.86</t>
  </si>
  <si>
    <t>172.20.12.15</t>
  </si>
  <si>
    <t>172.20.12.219</t>
  </si>
  <si>
    <t>172.20.11.64</t>
  </si>
  <si>
    <t>172.20.11.65</t>
  </si>
  <si>
    <t>172.20.11.159</t>
  </si>
  <si>
    <t>172.20.11.160</t>
  </si>
  <si>
    <t>172.20.11.161</t>
  </si>
  <si>
    <t>172.20.11.165</t>
  </si>
  <si>
    <t>172.20.11.162</t>
  </si>
  <si>
    <t>172.20.11.163</t>
  </si>
  <si>
    <t>172.20.11.164</t>
  </si>
  <si>
    <t>172.20.11.79</t>
  </si>
  <si>
    <t>172.20.11.80</t>
  </si>
  <si>
    <t>172.20.11.78</t>
  </si>
  <si>
    <t>172.20.11.175</t>
  </si>
  <si>
    <t>172.20.11.176</t>
  </si>
  <si>
    <t>172.20.11.177</t>
  </si>
  <si>
    <t>172.20.11.178</t>
  </si>
  <si>
    <t>172.20.11.63</t>
  </si>
  <si>
    <t>10.20.30.27</t>
  </si>
  <si>
    <t>10.20.30.31</t>
  </si>
  <si>
    <t>10.20.30.32</t>
  </si>
  <si>
    <t>SAN01</t>
  </si>
  <si>
    <t>SANTA ANA</t>
  </si>
  <si>
    <t>172.20.11.59</t>
  </si>
  <si>
    <t>172.20.11.58</t>
  </si>
  <si>
    <t>SIR 13</t>
  </si>
  <si>
    <t>AV MONTEVERDE Y URIBURU</t>
  </si>
  <si>
    <t>SIR 14</t>
  </si>
  <si>
    <t>MANUEL IGLESIAS Y PEDRAZA</t>
  </si>
  <si>
    <t>172.20.11.119</t>
  </si>
  <si>
    <t>172.20.11.120</t>
  </si>
  <si>
    <t>172.20.11.121</t>
  </si>
  <si>
    <t>172.20.11.122</t>
  </si>
  <si>
    <t>172.20.11.87</t>
  </si>
  <si>
    <t>172.20.11.100</t>
  </si>
  <si>
    <t>ALT 03</t>
  </si>
  <si>
    <t>ALT 04</t>
  </si>
  <si>
    <t>ALT 06</t>
  </si>
  <si>
    <t>ALT 08</t>
  </si>
  <si>
    <t>ALT 09</t>
  </si>
  <si>
    <t>ALT 10</t>
  </si>
  <si>
    <t>Calchaqui y Francia</t>
  </si>
  <si>
    <t>ARA 01</t>
  </si>
  <si>
    <t>BEL 01</t>
  </si>
  <si>
    <t>CEN 05</t>
  </si>
  <si>
    <t>CEN 12</t>
  </si>
  <si>
    <t>CEN 13</t>
  </si>
  <si>
    <t>CEN 37</t>
  </si>
  <si>
    <t>CEN 50</t>
  </si>
  <si>
    <t>CEN 51</t>
  </si>
  <si>
    <t>CEN 53</t>
  </si>
  <si>
    <t>CEN 65</t>
  </si>
  <si>
    <t>CEN 75</t>
  </si>
  <si>
    <t>25 DE MAYO Y CASTELLI</t>
  </si>
  <si>
    <t>CEN 76</t>
  </si>
  <si>
    <t>CEN59</t>
  </si>
  <si>
    <t>CEN62</t>
  </si>
  <si>
    <t>CEN63</t>
  </si>
  <si>
    <t>COL 03</t>
  </si>
  <si>
    <t>DJO 02 (fija 1)</t>
  </si>
  <si>
    <t>DJO 03 (fija 2)</t>
  </si>
  <si>
    <t>DJO 04 (Fija 1)</t>
  </si>
  <si>
    <t>MONTEVERDE Y EL INDIO</t>
  </si>
  <si>
    <t>DJO 05 (Fija 2)</t>
  </si>
  <si>
    <t>EPQ 01</t>
  </si>
  <si>
    <t>EPQ 02</t>
  </si>
  <si>
    <t>EPQ 03</t>
  </si>
  <si>
    <t>EPQ 04</t>
  </si>
  <si>
    <t>DAVINSON Y MORANCHEL</t>
  </si>
  <si>
    <t>ESM07</t>
  </si>
  <si>
    <t>INA 01</t>
  </si>
  <si>
    <t>INA 02</t>
  </si>
  <si>
    <t>INF 01</t>
  </si>
  <si>
    <t>KM 14 (fija 1)</t>
  </si>
  <si>
    <t>KM 15 (fija 2)</t>
  </si>
  <si>
    <t>KM 16 (fija 1)</t>
  </si>
  <si>
    <t>KM 17 (fija 2)</t>
  </si>
  <si>
    <t>KM08 / UPA 03</t>
  </si>
  <si>
    <t>KM09 / UPA 1</t>
  </si>
  <si>
    <t>LPI 01</t>
  </si>
  <si>
    <t>LPR 01</t>
  </si>
  <si>
    <t>LRO 05</t>
  </si>
  <si>
    <t>LRO 09</t>
  </si>
  <si>
    <t>LRO 10</t>
  </si>
  <si>
    <t>LRO 12 (fija 1)</t>
  </si>
  <si>
    <t>LRO 13 (fija 2)</t>
  </si>
  <si>
    <t>LRO01</t>
  </si>
  <si>
    <t>LUJ 01</t>
  </si>
  <si>
    <t>MAR 02 (FIJA1)</t>
  </si>
  <si>
    <t>LUJAN Y PATAGONES</t>
  </si>
  <si>
    <t>LAS MARGARITAS</t>
  </si>
  <si>
    <t>MFI 01</t>
  </si>
  <si>
    <t>MFI 03</t>
  </si>
  <si>
    <t>MFI 05</t>
  </si>
  <si>
    <t>NJU 01</t>
  </si>
  <si>
    <t>PUNTO SEGURO - SAN FRANCISCO (domo)</t>
  </si>
  <si>
    <t>PUNTO SEGURO AGUSTIN RAMIREZ INTERCOMUNICADOR</t>
  </si>
  <si>
    <t>MALAMBO Y LA TRANQUERA</t>
  </si>
  <si>
    <t>1282 Y 1201</t>
  </si>
  <si>
    <t>DIAG LOS YAGANES Y 1148</t>
  </si>
  <si>
    <t>PUNTO SEGURO LUJAN INTERCOMUNICADOR</t>
  </si>
  <si>
    <t>DIAG LOS TILOS Y LOS ALGARROBOS</t>
  </si>
  <si>
    <t>PUNTO SEGURO PICO DE ORO INTERCOMUNICADOR</t>
  </si>
  <si>
    <t>PUNTO SEGURO SAN JORGE INTERCOMUNICADOR</t>
  </si>
  <si>
    <t>CALLE 554 Y 523</t>
  </si>
  <si>
    <t>PUNTO SEGURO SAN RUDECINDO INTERCOMUNICADOR</t>
  </si>
  <si>
    <t>SABTA SOFIA Y ALVAR NUÃ‘EZ</t>
  </si>
  <si>
    <t>PUNTO SEGURO SANTA ROSA INTERCOMUNICADOR</t>
  </si>
  <si>
    <t>Bruselas y sicilia</t>
  </si>
  <si>
    <t>PUNTO SEGURO VILLA ARGENTINA INTERCOMUNICADOR</t>
  </si>
  <si>
    <t>CALLE 513 Y DIAG PORTELA</t>
  </si>
  <si>
    <t>RCO02</t>
  </si>
  <si>
    <t>RRJ 05</t>
  </si>
  <si>
    <t>RRJ 06</t>
  </si>
  <si>
    <t>Constancio Vigil y Pablo Groussac</t>
  </si>
  <si>
    <t>RRJ 07</t>
  </si>
  <si>
    <t>Constancio Vigil y Estanislao del Campo</t>
  </si>
  <si>
    <t>RRJ 08</t>
  </si>
  <si>
    <t>Constancio Vigil y Pablo Podesta</t>
  </si>
  <si>
    <t>RRJ 09</t>
  </si>
  <si>
    <t>Constancio Vigil y Jose Ingeniero</t>
  </si>
  <si>
    <t>RRJ01</t>
  </si>
  <si>
    <t>RRJ02</t>
  </si>
  <si>
    <t>SAN 02</t>
  </si>
  <si>
    <t>HUDSON Y SUIPACHA</t>
  </si>
  <si>
    <t>SAR 02 (fija 1)</t>
  </si>
  <si>
    <t>SAR 03 (fija 2)</t>
  </si>
  <si>
    <t>SAR 04</t>
  </si>
  <si>
    <t>MONTES DE OCA Y ALVARADO</t>
  </si>
  <si>
    <t>SAR 05</t>
  </si>
  <si>
    <t>ALVARADO Y ROCHA</t>
  </si>
  <si>
    <t>SEMI 02</t>
  </si>
  <si>
    <t>SIR 15</t>
  </si>
  <si>
    <t>Monteverde y Azara</t>
  </si>
  <si>
    <t>SJO 09 (FIJA 1)</t>
  </si>
  <si>
    <t>515 Y 566</t>
  </si>
  <si>
    <t>SJO 10 (FIJA 2)</t>
  </si>
  <si>
    <t>SNI 03 (fija 1)</t>
  </si>
  <si>
    <t>SNI 04 (fija 2)</t>
  </si>
  <si>
    <t>SRO 04</t>
  </si>
  <si>
    <t>SRO 11</t>
  </si>
  <si>
    <t>SRO 13 (fija 1)</t>
  </si>
  <si>
    <t>SRO 14 (fija 2)</t>
  </si>
  <si>
    <t>SRO 18 (fija 1)</t>
  </si>
  <si>
    <t>SRO 19 (fija 2)</t>
  </si>
  <si>
    <t>SRO05</t>
  </si>
  <si>
    <t>SRO06</t>
  </si>
  <si>
    <t>SRO07</t>
  </si>
  <si>
    <t>SRO09</t>
  </si>
  <si>
    <t>SRO10</t>
  </si>
  <si>
    <t>SRO16 (fija 1)</t>
  </si>
  <si>
    <t>SRO17 (fija 2)</t>
  </si>
  <si>
    <t>VANG 09</t>
  </si>
  <si>
    <t>VAR 08 (fija 1)</t>
  </si>
  <si>
    <t>VAR 09 (fija 2)</t>
  </si>
  <si>
    <t>VAT 10</t>
  </si>
  <si>
    <t>VAT 14</t>
  </si>
  <si>
    <t>VAT 21 (fija 1)</t>
  </si>
  <si>
    <t>VAT 22 (fija 2)</t>
  </si>
  <si>
    <t>VAT12</t>
  </si>
  <si>
    <t>VAT13</t>
  </si>
  <si>
    <t>VAT18</t>
  </si>
  <si>
    <t>VAT19</t>
  </si>
  <si>
    <t>VAU 01</t>
  </si>
  <si>
    <t>VAU 02</t>
  </si>
  <si>
    <t>VHS 03 (fija 1)</t>
  </si>
  <si>
    <t>VHS 04 (fija 2)</t>
  </si>
  <si>
    <t>VLA 01 (fija 1)</t>
  </si>
  <si>
    <t>VLA 02</t>
  </si>
  <si>
    <t>VMO 03 (fija 1)</t>
  </si>
  <si>
    <t>VMO 04 (fija 2)</t>
  </si>
  <si>
    <t>VMO 05</t>
  </si>
  <si>
    <t>VMOV 02 (fija 2)</t>
  </si>
  <si>
    <t>VMOV 03 (fija 1)</t>
  </si>
  <si>
    <t>VSU01</t>
  </si>
  <si>
    <t>PTO A FO</t>
  </si>
  <si>
    <t>Fija 2</t>
  </si>
  <si>
    <t>Fija 1</t>
  </si>
  <si>
    <t>172.20.11.135</t>
  </si>
  <si>
    <t>172.20.10.4</t>
  </si>
  <si>
    <t>[Empresa Mantenimiento]</t>
  </si>
  <si>
    <t>BONOMO</t>
  </si>
  <si>
    <t>COSEIDI</t>
  </si>
  <si>
    <t>172.20.11.235</t>
  </si>
  <si>
    <t>Peron y España</t>
  </si>
  <si>
    <t>España y Marmol</t>
  </si>
  <si>
    <t>España y 9 de Julio</t>
  </si>
  <si>
    <t>Eva Peron y Lavalle</t>
  </si>
  <si>
    <t>Eva Peron y Pueyrredon</t>
  </si>
  <si>
    <t>Monteagudo y Pte. Peron</t>
  </si>
  <si>
    <t>San Martin y Pte.Peron</t>
  </si>
  <si>
    <t>San Martin y Guemes</t>
  </si>
  <si>
    <t>ESPAÑA E/MITRE Y BOCUZZI</t>
  </si>
  <si>
    <t>Pte.Peron e/Pringles y Brown</t>
  </si>
  <si>
    <t>Sallares y España</t>
  </si>
  <si>
    <t>Bocuzzi e/España y San Martin</t>
  </si>
  <si>
    <t>Mitre y España</t>
  </si>
  <si>
    <t>San Juan y España</t>
  </si>
  <si>
    <t>Aristobulo del Valle y España</t>
  </si>
  <si>
    <t>ESPAÑA Y ALEM</t>
  </si>
  <si>
    <t>Maipu y Posadas</t>
  </si>
  <si>
    <t>Las Americas y Braile</t>
  </si>
  <si>
    <t>ñandu y Los Pinos</t>
  </si>
  <si>
    <t>Eva Peron y Cabildo</t>
  </si>
  <si>
    <t>CHAÑAR Y URUGUAY</t>
  </si>
  <si>
    <t>Eva Peron y 12 de Octubre</t>
  </si>
  <si>
    <t>Rio Carapachay y Oroño</t>
  </si>
  <si>
    <t>EVA PERON E/ OROÑO Y 734 A</t>
  </si>
  <si>
    <t>Eva Peron y Monseñor de las Casas</t>
  </si>
  <si>
    <t>VAR12</t>
  </si>
  <si>
    <t>Calle 527 y Portela</t>
  </si>
  <si>
    <t>172.20.11.237</t>
  </si>
  <si>
    <t>Calle 527 y 532</t>
  </si>
  <si>
    <t>172.20.11.238</t>
  </si>
  <si>
    <t>VAR13</t>
  </si>
  <si>
    <t>VAR14</t>
  </si>
  <si>
    <t>Pportela y 517</t>
  </si>
  <si>
    <t>172.20.11.239</t>
  </si>
  <si>
    <t>SANTA SOFIA Y LUIS AGOTE</t>
  </si>
  <si>
    <t>SRU03</t>
  </si>
  <si>
    <t xml:space="preserve">172.20.11.154 </t>
  </si>
  <si>
    <t>OROÑO Y EVA PERON</t>
  </si>
  <si>
    <t>Monteagudo e/ Mitre y Boccuzzi</t>
  </si>
  <si>
    <t>CEN 77</t>
  </si>
  <si>
    <t>172.20.11.241</t>
  </si>
  <si>
    <t>CEN 79</t>
  </si>
  <si>
    <t>CEN 80</t>
  </si>
  <si>
    <t>Diag. Constituyente y Brown</t>
  </si>
  <si>
    <t>fija</t>
  </si>
  <si>
    <t>VSU 04</t>
  </si>
  <si>
    <t>VSU 05</t>
  </si>
  <si>
    <t>Aniceto Diaz y Cordoba</t>
  </si>
  <si>
    <t>CEN 78</t>
  </si>
  <si>
    <t>172.20.11.240</t>
  </si>
  <si>
    <t>172.20.11.243</t>
  </si>
  <si>
    <t>172.20.11.244</t>
  </si>
  <si>
    <t>172.20.11.47</t>
  </si>
  <si>
    <t>172.20.11.48</t>
  </si>
  <si>
    <t>SAN MARTIN</t>
  </si>
  <si>
    <t>SMA 08</t>
  </si>
  <si>
    <t>12 De Octubre y H. Lagos</t>
  </si>
  <si>
    <t>Necochea y Lorenzini</t>
  </si>
  <si>
    <t>Necochea y Montes de Oca</t>
  </si>
  <si>
    <t>Calle 414 y El Indio</t>
  </si>
  <si>
    <t>SAR 06</t>
  </si>
  <si>
    <t>SAR 07</t>
  </si>
  <si>
    <t>SAR 08</t>
  </si>
  <si>
    <t>SAR 09</t>
  </si>
  <si>
    <t>172.20.11.228</t>
  </si>
  <si>
    <t>172.20.11.229</t>
  </si>
  <si>
    <t>172.20.11.247</t>
  </si>
  <si>
    <t>172.20.11.248</t>
  </si>
  <si>
    <t>172.20.11.54</t>
  </si>
  <si>
    <t>172.20.11.55</t>
  </si>
  <si>
    <t>172.20.12.121</t>
  </si>
  <si>
    <t>172.20.12.122</t>
  </si>
  <si>
    <t>SMA 09</t>
  </si>
  <si>
    <t>VAT 25</t>
  </si>
  <si>
    <t>VAT 26</t>
  </si>
  <si>
    <t>Mainini y Uruguay</t>
  </si>
  <si>
    <t>172.20.11.37</t>
  </si>
  <si>
    <t>172.20.11.38</t>
  </si>
  <si>
    <t>Basualdo y Lieja</t>
  </si>
  <si>
    <t>172.20.11.51</t>
  </si>
  <si>
    <t>172.20.11.52</t>
  </si>
  <si>
    <t>Barzi y Serrano</t>
  </si>
  <si>
    <t>172.20.11.56</t>
  </si>
  <si>
    <t>172.20.11.57</t>
  </si>
  <si>
    <t>FADER Y DIAGONAL LOS POETAS</t>
  </si>
  <si>
    <t>LUGONES Y OBLIGADO</t>
  </si>
  <si>
    <t>172.20.11.39</t>
  </si>
  <si>
    <t>172.20.11.127</t>
  </si>
  <si>
    <t>172.20.11.128</t>
  </si>
  <si>
    <t>BENAVENTE Y LUIS AGOTE</t>
  </si>
  <si>
    <t>LUIS AGOTE E/DANUNCIO Y CAMPOAMOR</t>
  </si>
  <si>
    <t>LUIS AGOTE Y RUTA 36</t>
  </si>
  <si>
    <t>172.20.11.13</t>
  </si>
  <si>
    <t>172.20.11.15</t>
  </si>
  <si>
    <t>172.20.11.16</t>
  </si>
  <si>
    <t>172.20.11.17</t>
  </si>
  <si>
    <t>172.20.11.18</t>
  </si>
  <si>
    <t>ESM 14</t>
  </si>
  <si>
    <t>ESM 13</t>
  </si>
  <si>
    <t>172.20.11.113</t>
  </si>
  <si>
    <t>ESM 15</t>
  </si>
  <si>
    <t>ESM 16</t>
  </si>
  <si>
    <t>RRJ 10</t>
  </si>
  <si>
    <t>RRJ 11</t>
  </si>
  <si>
    <t>BOSQC 04</t>
  </si>
  <si>
    <t>BOSQC 03</t>
  </si>
  <si>
    <t>BOSQC 01</t>
  </si>
  <si>
    <t>BOSQC 02</t>
  </si>
  <si>
    <t>BOSQC 05</t>
  </si>
  <si>
    <t>BOSQC 06</t>
  </si>
  <si>
    <t>CEN 81</t>
  </si>
  <si>
    <t>172.20.11.242</t>
  </si>
  <si>
    <t>LIBER 01</t>
  </si>
  <si>
    <t>511 Y 574 FIJA 01</t>
  </si>
  <si>
    <t>LIBER 02</t>
  </si>
  <si>
    <t>511 Y 574 FIJA 02</t>
  </si>
  <si>
    <t>VANG10</t>
  </si>
  <si>
    <t>Senzabello y Braile</t>
  </si>
  <si>
    <t>172.20.11.245</t>
  </si>
  <si>
    <t>VANG11</t>
  </si>
  <si>
    <t>172.20.11.246</t>
  </si>
  <si>
    <t>RRJ 12</t>
  </si>
  <si>
    <t>BOSQUES CENTRO</t>
  </si>
  <si>
    <t>CEN83</t>
  </si>
  <si>
    <t>RECONQUISTA Y 25 DE MAYO</t>
  </si>
  <si>
    <t>172.20.11.123</t>
  </si>
  <si>
    <t>CEN 82</t>
  </si>
  <si>
    <t>DORREGO Y BOUREL</t>
  </si>
  <si>
    <t>172.20.11.198</t>
  </si>
  <si>
    <t>VSU 06</t>
  </si>
  <si>
    <t>EE.UU Y BROWN</t>
  </si>
  <si>
    <t>172.20.11.111</t>
  </si>
  <si>
    <t>12 DE OCTUBRE Y ROSARIO</t>
  </si>
  <si>
    <t>172.20.11.227</t>
  </si>
  <si>
    <t>BRAILE Y FINOCCHIETTO</t>
  </si>
  <si>
    <t>172.20.11.179</t>
  </si>
  <si>
    <t>VAT 27</t>
  </si>
  <si>
    <t>PUNTO SEGURO- SAN RUDECINDO (domo)</t>
  </si>
  <si>
    <t>SANTA SOFIA Y ALVAR NUÑEZ</t>
  </si>
  <si>
    <t>LRO15</t>
  </si>
  <si>
    <t>172.20.10.63</t>
  </si>
  <si>
    <t>172.20.12.156</t>
  </si>
  <si>
    <t>172.20.11.114</t>
  </si>
  <si>
    <t>172.20.12.91</t>
  </si>
  <si>
    <t>172.20.12.92</t>
  </si>
  <si>
    <t>172.20.11.213</t>
  </si>
  <si>
    <t>172.20.11.214</t>
  </si>
  <si>
    <t>172.20.11.93</t>
  </si>
  <si>
    <t>172.20.11.107</t>
  </si>
  <si>
    <t>VANG12</t>
  </si>
  <si>
    <t>VANG13</t>
  </si>
  <si>
    <t>CEN 84</t>
  </si>
  <si>
    <t>25 DE MAYO Y MAIPU</t>
  </si>
  <si>
    <t>CEN 85</t>
  </si>
  <si>
    <t>PTE PERON E/ PRINGLES Y BROWN</t>
  </si>
  <si>
    <t>COL 04</t>
  </si>
  <si>
    <t>EVA PERON Y SAVIO</t>
  </si>
  <si>
    <t>PULPERIA Y EL ALJIBE</t>
  </si>
  <si>
    <t>KM 18</t>
  </si>
  <si>
    <t>MCUD 01</t>
  </si>
  <si>
    <t>TINOGASTA Y SAN LORENZO</t>
  </si>
  <si>
    <t>SAR 10</t>
  </si>
  <si>
    <t>SENZABELLO Y TINOGASTA</t>
  </si>
  <si>
    <t>SAR 11</t>
  </si>
  <si>
    <t>SENSABELLO Y BRAILLE</t>
  </si>
  <si>
    <t>TAPALQUE E/ BOLIVAR Y GORRITI</t>
  </si>
  <si>
    <t>172.20.10.75</t>
  </si>
  <si>
    <t>172.20.10.74</t>
  </si>
  <si>
    <t>172.20.10.77</t>
  </si>
  <si>
    <t>172.20.10.76</t>
  </si>
  <si>
    <t>MFI 07</t>
  </si>
  <si>
    <t>Sargento Cabral y Carlos Gardel</t>
  </si>
  <si>
    <t>172.20.10.104</t>
  </si>
  <si>
    <t>Destino</t>
  </si>
  <si>
    <t>TORRE VILLA ARGENTINA</t>
  </si>
  <si>
    <t>NECOCHEA Y GALARZA</t>
  </si>
  <si>
    <t>CABRAL Y CALCHAQUI</t>
  </si>
  <si>
    <t>SAN MARTIN Y SALLARES</t>
  </si>
  <si>
    <t>SAN MARTIN Y ALEM</t>
  </si>
  <si>
    <t>MONTEVIDEO Y CHAÑAR</t>
  </si>
  <si>
    <t>SALLARES Y PARRILLO</t>
  </si>
  <si>
    <t>MONTEVIDEO Y ALSINA</t>
  </si>
  <si>
    <t>CALCHAQUI Y BALCARCE</t>
  </si>
  <si>
    <t>STORNI Y THEVENET</t>
  </si>
  <si>
    <t>12 DE OCTUBRE Y FLORIDA</t>
  </si>
  <si>
    <t>BELGRANO Y QUINTANA</t>
  </si>
  <si>
    <t>MONTEVIDEO Y URUGUAY</t>
  </si>
  <si>
    <t>LAVALLE Y BELGRANO</t>
  </si>
  <si>
    <t>RUTA 36 Y THEVENET</t>
  </si>
  <si>
    <t xml:space="preserve">SEMI05 </t>
  </si>
  <si>
    <t xml:space="preserve">Av Del Trabajo y Carlos Gardel </t>
  </si>
  <si>
    <t>172.20.10.116</t>
  </si>
  <si>
    <t xml:space="preserve">SAN MARTIN </t>
  </si>
  <si>
    <t>BEL 02</t>
  </si>
  <si>
    <t>Guardia vieja y Fronteriz</t>
  </si>
  <si>
    <t>10.20.30.51</t>
  </si>
  <si>
    <t>10.20.30.52</t>
  </si>
  <si>
    <t>172.20.10.78</t>
  </si>
  <si>
    <t>172.20.12.153</t>
  </si>
  <si>
    <t>172.20.12.141</t>
  </si>
  <si>
    <t>172.20.12.144</t>
  </si>
  <si>
    <t>172.20.12.138</t>
  </si>
  <si>
    <t>172.20.12.150</t>
  </si>
  <si>
    <t>172.20.12.103</t>
  </si>
  <si>
    <t>172.20.12.107</t>
  </si>
  <si>
    <t>172.20.12.147</t>
  </si>
  <si>
    <t>10.20.30.49</t>
  </si>
  <si>
    <t>172.20.11.186</t>
  </si>
  <si>
    <t>172.20.11.187</t>
  </si>
  <si>
    <t>MFI 08</t>
  </si>
  <si>
    <t>Braile y Batalla de Callao</t>
  </si>
  <si>
    <t>SRO21</t>
  </si>
  <si>
    <t>NOVAK Y BONN</t>
  </si>
  <si>
    <t>SRO20</t>
  </si>
  <si>
    <t>172.20.10.111</t>
  </si>
  <si>
    <t>172.20.10.112</t>
  </si>
  <si>
    <t>PUNTO SEGURO VILLA ARGENTINA domo</t>
  </si>
  <si>
    <t>PUNTO SEGURO VILLA ARGENTINA fija</t>
  </si>
  <si>
    <t>172.20.12.132</t>
  </si>
  <si>
    <t>PUNTO SEGURO - ING ALLAN INTERCOMUNICADOR</t>
  </si>
  <si>
    <t>PUNTO SEGURO - EL PARQUE INTERCOMUNICADOR</t>
  </si>
  <si>
    <t>RRJ 13</t>
  </si>
  <si>
    <t>LUJAN Y DIAGONAL LOS POETAS</t>
  </si>
  <si>
    <t>172.20.10.106</t>
  </si>
  <si>
    <t>CEN 86</t>
  </si>
  <si>
    <t>GPON</t>
  </si>
  <si>
    <t>172.20.10.98</t>
  </si>
  <si>
    <t>172.20.11.169</t>
  </si>
  <si>
    <t>172.20.10.95</t>
  </si>
  <si>
    <t>VDPL07</t>
  </si>
  <si>
    <t>SMAT01</t>
  </si>
  <si>
    <t xml:space="preserve">AV BOSQUES Y CANTU </t>
  </si>
  <si>
    <t>172.20.12.177</t>
  </si>
  <si>
    <t>MCUD 02</t>
  </si>
  <si>
    <t>DORIO1</t>
  </si>
  <si>
    <t>AV Bosques Y Theran</t>
  </si>
  <si>
    <t>CALLE 115 A Y 158</t>
  </si>
  <si>
    <t>MONTE CUDINE</t>
  </si>
  <si>
    <t>Bruselas y Calle 647</t>
  </si>
  <si>
    <t>172.20.10.94</t>
  </si>
  <si>
    <t>LPI05</t>
  </si>
  <si>
    <t>CEN87</t>
  </si>
  <si>
    <t>25 DE MAYO Y NEWBERY</t>
  </si>
  <si>
    <t>172.20.10.118</t>
  </si>
  <si>
    <t>PAGANI Y RIVADAVIA</t>
  </si>
  <si>
    <t>172.20.10.178</t>
  </si>
  <si>
    <t>DON ORIONE</t>
  </si>
  <si>
    <t>172.20.12.16</t>
  </si>
  <si>
    <t>172.20.12.83</t>
  </si>
  <si>
    <t>172.20.12.178</t>
  </si>
  <si>
    <t>DORI02</t>
  </si>
  <si>
    <t>QUINQUELA MARTIN Y AV BOSQUES</t>
  </si>
  <si>
    <t>ROT01</t>
  </si>
  <si>
    <t xml:space="preserve">ROTONDA DE ALPARGATAS </t>
  </si>
  <si>
    <t>VANG14</t>
  </si>
  <si>
    <t>3120 E/THEVENET Y 158</t>
  </si>
  <si>
    <t>NJU10</t>
  </si>
  <si>
    <t>BOCUZZI Y BARO</t>
  </si>
  <si>
    <t>VDPL01</t>
  </si>
  <si>
    <t>Abrahan y Delgado</t>
  </si>
  <si>
    <t>172.20.10.19</t>
  </si>
  <si>
    <t>Touring club y Sta Teresita</t>
  </si>
  <si>
    <t>PAVE01</t>
  </si>
  <si>
    <t>Touring Club y Ramallo</t>
  </si>
  <si>
    <t>172.20.10.119</t>
  </si>
  <si>
    <t>VANG15</t>
  </si>
  <si>
    <t>SJU02</t>
  </si>
  <si>
    <t>Av Bosques y Touring Club</t>
  </si>
  <si>
    <t>172.20.10.141</t>
  </si>
  <si>
    <t>172.20.10.169</t>
  </si>
  <si>
    <t>172.20.10.117</t>
  </si>
  <si>
    <t>172.20.10.130</t>
  </si>
  <si>
    <t xml:space="preserve">STORNI Y ESPOSOS CURIE </t>
  </si>
  <si>
    <t>172.20.12.182</t>
  </si>
  <si>
    <t>172.20.10.167</t>
  </si>
  <si>
    <t>172.20.10.170</t>
  </si>
  <si>
    <t>172.20.10.171</t>
  </si>
  <si>
    <t>172.20.10.154</t>
  </si>
  <si>
    <t>172.20.10.162</t>
  </si>
  <si>
    <t>172.20.10.173</t>
  </si>
  <si>
    <t>172.20.10.153</t>
  </si>
  <si>
    <t>172.20.10.168</t>
  </si>
  <si>
    <t>172.20.10.172</t>
  </si>
  <si>
    <t>172.20.10.155</t>
  </si>
  <si>
    <t>172.20.10.156</t>
  </si>
  <si>
    <t>172.20.10.157</t>
  </si>
  <si>
    <t>172.20.10.158</t>
  </si>
  <si>
    <t>172.20.10.159</t>
  </si>
  <si>
    <t>172.20.10.161</t>
  </si>
  <si>
    <t>172.20.10.163</t>
  </si>
  <si>
    <t>172.20.10.164</t>
  </si>
  <si>
    <t>172.20.10.165</t>
  </si>
  <si>
    <t>ROT02</t>
  </si>
  <si>
    <t>ROT03</t>
  </si>
  <si>
    <t>ROT04</t>
  </si>
  <si>
    <t>CALCHAQUÍ Y AZURDUY</t>
  </si>
  <si>
    <t>CALCHAQUÍ Y AZURDUY FIJA 1</t>
  </si>
  <si>
    <t>CALCHAQUÍ Y AZURDUY FIJA 2</t>
  </si>
  <si>
    <t>RRJ 14</t>
  </si>
  <si>
    <t>RRJ 15</t>
  </si>
  <si>
    <t>RRJ 16</t>
  </si>
  <si>
    <t> Constancio Vigil y Ruta 36 Domo</t>
  </si>
  <si>
    <t>Constancio Vigil y Ruta 36 fija</t>
  </si>
  <si>
    <t>Constancio Vigil y Lujan</t>
  </si>
  <si>
    <t>172.20.11.232</t>
  </si>
  <si>
    <t>172.20.10.191</t>
  </si>
  <si>
    <t>172.20.10.192</t>
  </si>
  <si>
    <t>172.20.10.210</t>
  </si>
  <si>
    <t>172.20.10.211</t>
  </si>
  <si>
    <t>172.20.10.212</t>
  </si>
  <si>
    <t>10.20.30.35</t>
  </si>
  <si>
    <t>10.20.30.50</t>
  </si>
  <si>
    <t>PAVE02</t>
  </si>
  <si>
    <t xml:space="preserve">Ramallo y Calingasta </t>
  </si>
  <si>
    <t>172.20.10.37</t>
  </si>
  <si>
    <t>SJU03</t>
  </si>
  <si>
    <t>Ruta 36 y Av.Bosques</t>
  </si>
  <si>
    <t>172.20.10.53</t>
  </si>
  <si>
    <t>172.20.10.66</t>
  </si>
  <si>
    <t>172.20.10.68</t>
  </si>
  <si>
    <t>172.20.10.70</t>
  </si>
  <si>
    <t>172.0.10.72</t>
  </si>
  <si>
    <t>172.20.10.127</t>
  </si>
  <si>
    <t>172.20.10.133</t>
  </si>
  <si>
    <t>172.20.10.136</t>
  </si>
  <si>
    <t>172.20.10.138</t>
  </si>
  <si>
    <t>172.20.10.139</t>
  </si>
  <si>
    <t>172.20.10.140</t>
  </si>
  <si>
    <t>172.20.10.150</t>
  </si>
  <si>
    <t>CEN88</t>
  </si>
  <si>
    <t>172.20.10.151</t>
  </si>
  <si>
    <t>LPI06</t>
  </si>
  <si>
    <t>EEUU e/Ayacucho y Newbery</t>
  </si>
  <si>
    <t>172.20.10.152</t>
  </si>
  <si>
    <t>172.20.10.160</t>
  </si>
  <si>
    <t>172.20.10.166</t>
  </si>
  <si>
    <t>172.20.10.174</t>
  </si>
  <si>
    <t>172.20.10.175</t>
  </si>
  <si>
    <t>172.20.10.176</t>
  </si>
  <si>
    <t>172.20.10.177</t>
  </si>
  <si>
    <t>172.20.10.182</t>
  </si>
  <si>
    <t>172.20.10.183</t>
  </si>
  <si>
    <t>172.20.10.185</t>
  </si>
  <si>
    <t>172.20.10.187</t>
  </si>
  <si>
    <t>172.20.10.188</t>
  </si>
  <si>
    <t>172.20.10.189</t>
  </si>
  <si>
    <t>SIR 16</t>
  </si>
  <si>
    <t>SIR 17</t>
  </si>
  <si>
    <t>SIR 18</t>
  </si>
  <si>
    <t>Las Heras y Finochietto</t>
  </si>
  <si>
    <t>172.20.11.33</t>
  </si>
  <si>
    <t>172.20.11.49</t>
  </si>
  <si>
    <t>z</t>
  </si>
  <si>
    <t>172.20.10.144</t>
  </si>
  <si>
    <t>ZEB 06</t>
  </si>
  <si>
    <t>Peron e/Ituzaingo y Buenos Aires</t>
  </si>
  <si>
    <t xml:space="preserve">Quinquela Martn y 861 </t>
  </si>
  <si>
    <t>ZEB 07 (Fija 1)</t>
  </si>
  <si>
    <t>ZEB 08 (Fija 2)</t>
  </si>
  <si>
    <t>Quinquela Martin y 861</t>
  </si>
  <si>
    <t>172.20.10.58</t>
  </si>
  <si>
    <t>172.20.10.79</t>
  </si>
  <si>
    <t>172.20.10.99</t>
  </si>
  <si>
    <t>Azurduy y Vergara</t>
  </si>
  <si>
    <t>CAR01 (Fija 1)</t>
  </si>
  <si>
    <t>LA CAROLINA 2</t>
  </si>
  <si>
    <t>CAR02 (Fija 2)</t>
  </si>
  <si>
    <t>172.20.10.60</t>
  </si>
  <si>
    <t>172.20.10.73</t>
  </si>
  <si>
    <t>172.20.10.209</t>
  </si>
  <si>
    <t>VHS 02</t>
  </si>
  <si>
    <t>APAGADOS FIBRA</t>
  </si>
  <si>
    <t>APAGADOS RADIO</t>
  </si>
  <si>
    <t>APAGADOS ANTENA</t>
  </si>
  <si>
    <t>172.20.12.37</t>
  </si>
  <si>
    <t>CEN45 (fija 2)</t>
  </si>
  <si>
    <t>CEN46 (fija 1)</t>
  </si>
  <si>
    <t>172.20.12.35</t>
  </si>
  <si>
    <t>172.20.12.223</t>
  </si>
  <si>
    <t>172.20.10.109</t>
  </si>
  <si>
    <t>GRANADEROS e/San Martin Y España</t>
  </si>
  <si>
    <t>CEN90 Fija 1</t>
  </si>
  <si>
    <t>172.20.12.193</t>
  </si>
  <si>
    <t xml:space="preserve">Granaderos e/San martin y España </t>
  </si>
  <si>
    <t xml:space="preserve">CEN91 </t>
  </si>
  <si>
    <t>172.20.12.194</t>
  </si>
  <si>
    <t xml:space="preserve">Solis y Guemes </t>
  </si>
  <si>
    <t>MON05 Fija 1</t>
  </si>
  <si>
    <t>172.20.12.195</t>
  </si>
  <si>
    <t>MON06 Fija 2</t>
  </si>
  <si>
    <t>172.20.11.110</t>
  </si>
  <si>
    <t>172.20.12.186</t>
  </si>
  <si>
    <t>172.20.10.203</t>
  </si>
  <si>
    <t>172.20.10.179</t>
  </si>
  <si>
    <t>172.20.12.196</t>
  </si>
  <si>
    <t>172.20.10.215</t>
  </si>
  <si>
    <t>172.20.10.216</t>
  </si>
  <si>
    <t>172.20.10.214</t>
  </si>
  <si>
    <t>172.20.10.184</t>
  </si>
  <si>
    <t>172.20.10.180</t>
  </si>
  <si>
    <t>172.20.11.85</t>
  </si>
  <si>
    <t>172.20.10.181</t>
  </si>
  <si>
    <t>CEN89</t>
  </si>
  <si>
    <t>Gutierrez e Ituzaingo</t>
  </si>
  <si>
    <t>CVA01</t>
  </si>
  <si>
    <t>CACHEUTA Y 1355</t>
  </si>
  <si>
    <t>172.20.10.59</t>
  </si>
  <si>
    <t>172.20.10.147</t>
  </si>
  <si>
    <t>ESM 17</t>
  </si>
  <si>
    <t>Plaza La Esmeralda</t>
  </si>
  <si>
    <t>172.20.10.110</t>
  </si>
  <si>
    <t>172.20.10.113</t>
  </si>
  <si>
    <t>LDM 04</t>
  </si>
  <si>
    <t>PLAZA LOMAS DE MONTEVERDE</t>
  </si>
  <si>
    <t>172.20.12.224</t>
  </si>
  <si>
    <t>Diagonal Constitucion Y ALEM</t>
  </si>
  <si>
    <t>CEN92</t>
  </si>
  <si>
    <t>Las Heras y Urquiza</t>
  </si>
  <si>
    <t>172.20.12.232</t>
  </si>
  <si>
    <t>CEN93</t>
  </si>
  <si>
    <t>Tte.Gral Peron -Plaza Calegari</t>
  </si>
  <si>
    <t>172.20.12.234</t>
  </si>
  <si>
    <t>ALT 11</t>
  </si>
  <si>
    <t>CALCHAQUÍ Y GALARZA FIJA</t>
  </si>
  <si>
    <t>172.20.12.241</t>
  </si>
  <si>
    <t>Plaza CentraL</t>
  </si>
  <si>
    <t>VAT 28</t>
  </si>
  <si>
    <t>Mainini e/Montevideo y Uruuay</t>
  </si>
  <si>
    <t>172.20.12.236</t>
  </si>
  <si>
    <t>Eva Peron y 1404</t>
  </si>
  <si>
    <t>172.20.12.240</t>
  </si>
  <si>
    <t>NJU11</t>
  </si>
  <si>
    <t>10 DE JULIO</t>
  </si>
  <si>
    <t>Tte:Peron y Chile</t>
  </si>
  <si>
    <t>172.20.12.233</t>
  </si>
  <si>
    <t>ARA 02</t>
  </si>
  <si>
    <t xml:space="preserve">El malambo y La Tranquera </t>
  </si>
  <si>
    <t>172.20.12.235</t>
  </si>
  <si>
    <t>SJO11 (fija 1)</t>
  </si>
  <si>
    <t>554 Y 531</t>
  </si>
  <si>
    <t>SJO12 (fija 1)</t>
  </si>
  <si>
    <t>EPQ 05</t>
  </si>
  <si>
    <t>EPQ 06</t>
  </si>
  <si>
    <t xml:space="preserve">1282 Y EZEIZA </t>
  </si>
  <si>
    <t>172.20.10.230</t>
  </si>
  <si>
    <t>172.20.10.219</t>
  </si>
  <si>
    <t>ESM 18</t>
  </si>
  <si>
    <t>Belgicca y Cerdeña</t>
  </si>
  <si>
    <t>172.20.10.226</t>
  </si>
  <si>
    <t>El Paisano y 441</t>
  </si>
  <si>
    <t>172.20.10.231</t>
  </si>
  <si>
    <t>SNA04</t>
  </si>
  <si>
    <t>SNA03</t>
  </si>
  <si>
    <t>Combate de los Pozos y Cantu</t>
  </si>
  <si>
    <t>Combate de los Pozos y Suipacha</t>
  </si>
  <si>
    <t>172.20.10.235</t>
  </si>
  <si>
    <t>172.20.10.236</t>
  </si>
  <si>
    <t>CEN95</t>
  </si>
  <si>
    <t>CEN96</t>
  </si>
  <si>
    <t>Monteagudo y Marmol</t>
  </si>
  <si>
    <t>Monteagudo y Alem</t>
  </si>
  <si>
    <t>172.20.12.227</t>
  </si>
  <si>
    <t>172.20.12.231</t>
  </si>
  <si>
    <t>ARA 03</t>
  </si>
  <si>
    <t>437 Y La Tranquera</t>
  </si>
  <si>
    <t>172.20.10.232</t>
  </si>
  <si>
    <t>SAR 12</t>
  </si>
  <si>
    <t>SAR 13</t>
  </si>
  <si>
    <t>SAR 14</t>
  </si>
  <si>
    <t>Arenales y Estrada</t>
  </si>
  <si>
    <t>172.20.12.230</t>
  </si>
  <si>
    <t>Calchaqui y Rocha</t>
  </si>
  <si>
    <t>172.20.12.237</t>
  </si>
  <si>
    <t xml:space="preserve">Necochea e/Senzabello y Magallanes </t>
  </si>
  <si>
    <t>172.20.12.238</t>
  </si>
  <si>
    <t>VAT 29</t>
  </si>
  <si>
    <t xml:space="preserve">Vicente Lopez y Tucuman </t>
  </si>
  <si>
    <t>172.20.12.225</t>
  </si>
  <si>
    <t>VAT30</t>
  </si>
  <si>
    <t>Vicente Lopez y General Paz</t>
  </si>
  <si>
    <t>172.20.12.226</t>
  </si>
  <si>
    <t>KM19</t>
  </si>
  <si>
    <t>El Aljibe y El Zonda</t>
  </si>
  <si>
    <t>172.20.12.239</t>
  </si>
  <si>
    <t>172.20.12.124</t>
  </si>
  <si>
    <t>LPI07</t>
  </si>
  <si>
    <t xml:space="preserve">Velez Sarfield y Estados Unidos </t>
  </si>
  <si>
    <t>172.20.10.224</t>
  </si>
  <si>
    <t>D'Anuncio Y J.B Justo (Plaza)</t>
  </si>
  <si>
    <t>172.20.10.222</t>
  </si>
  <si>
    <t>172.20.10.227</t>
  </si>
  <si>
    <t>172.20.10.228</t>
  </si>
  <si>
    <t>D'Anuncio e/Lisandro de la Torre y J.B Justo</t>
  </si>
  <si>
    <t xml:space="preserve">SANTA ROSA </t>
  </si>
  <si>
    <t>SRO22</t>
  </si>
  <si>
    <t>BONN Y YUGOSLAVIA</t>
  </si>
  <si>
    <t>172.20.10.217</t>
  </si>
  <si>
    <t>VANG16</t>
  </si>
  <si>
    <t>SRO24</t>
  </si>
  <si>
    <t>SANRA ROSA</t>
  </si>
  <si>
    <t>BONN Y MALLORCA</t>
  </si>
  <si>
    <t>172.20.10.229</t>
  </si>
  <si>
    <t>SENZABELLO Y NECOCHEA</t>
  </si>
  <si>
    <t>SENZABELLO Y REMDIOS DE ESCALADA</t>
  </si>
  <si>
    <t>172.20.12.229</t>
  </si>
  <si>
    <t>SRO23</t>
  </si>
  <si>
    <t>BONN  Y MALLORCA</t>
  </si>
  <si>
    <t>172.20.10.225</t>
  </si>
  <si>
    <t xml:space="preserve">THEVENET Y AMEGHINO </t>
  </si>
  <si>
    <t>STORNI e/ESPOSOS CURIE Y SENZABELLO</t>
  </si>
  <si>
    <t>VANG18(fija 1)</t>
  </si>
  <si>
    <t>VANG19(fija 2)</t>
  </si>
  <si>
    <t xml:space="preserve">STORNI Ee/ESPOSOS CURIE Y SENZABELLO </t>
  </si>
  <si>
    <t>172.20.8.45</t>
  </si>
  <si>
    <t>172.20.8.41</t>
  </si>
  <si>
    <t>VANG17</t>
  </si>
  <si>
    <t>172.20.12.228</t>
  </si>
  <si>
    <t>SJO13</t>
  </si>
  <si>
    <t>554 Y 525</t>
  </si>
  <si>
    <t>172.20.8.44</t>
  </si>
  <si>
    <t>172.20.8.42</t>
  </si>
  <si>
    <t>SIR 19</t>
  </si>
  <si>
    <t>172.20.10.218</t>
  </si>
  <si>
    <t>SAR 15</t>
  </si>
  <si>
    <t xml:space="preserve">Clorinda y Magallanes </t>
  </si>
  <si>
    <t>172.20.8.36</t>
  </si>
  <si>
    <t>CAR03(Fija1)</t>
  </si>
  <si>
    <t>CAR04(Fija2)</t>
  </si>
  <si>
    <t>Hudson e/1362 Y 1356</t>
  </si>
  <si>
    <t>172.20.8.39</t>
  </si>
  <si>
    <t>172.20.8.40</t>
  </si>
  <si>
    <t xml:space="preserve">VHS 05 </t>
  </si>
  <si>
    <t>172.20.8.34</t>
  </si>
  <si>
    <t>172.20.8.38</t>
  </si>
  <si>
    <t>CAR05</t>
  </si>
  <si>
    <t>CAR06</t>
  </si>
  <si>
    <t>Azurduy Y Barracas</t>
  </si>
  <si>
    <t>172.20.10.223</t>
  </si>
  <si>
    <t xml:space="preserve">Hudson y El Maestro </t>
  </si>
  <si>
    <t>CEN94</t>
  </si>
  <si>
    <t>Bocuzzi y Brown</t>
  </si>
  <si>
    <t>NJU12</t>
  </si>
  <si>
    <t>Bocuzzi y Rodo</t>
  </si>
  <si>
    <t>172.20.10.221</t>
  </si>
  <si>
    <t>VHS07</t>
  </si>
  <si>
    <t>Hudson y Rincon</t>
  </si>
  <si>
    <t>172.20.8.30</t>
  </si>
  <si>
    <t>YUGOSLAVIA Y BUCARES</t>
  </si>
  <si>
    <t xml:space="preserve">YUGOSLAVIA Y BUCAREST </t>
  </si>
  <si>
    <t>SRO25(fija 1)</t>
  </si>
  <si>
    <t>SRO26(fija 2)</t>
  </si>
  <si>
    <t>172.20.12.209</t>
  </si>
  <si>
    <t>172.20.12.210</t>
  </si>
  <si>
    <t>MAC</t>
  </si>
  <si>
    <t>00-07-5F-87-83-56</t>
  </si>
  <si>
    <t>00-04-63-50-42-A4</t>
  </si>
  <si>
    <t>00-07-5F-87-9D-EF</t>
  </si>
  <si>
    <t>00-04-63-59-22-57</t>
  </si>
  <si>
    <t>00-07-5F-77-02-85</t>
  </si>
  <si>
    <t>00-04-63-4F-DD-DB</t>
  </si>
  <si>
    <t>00-04-63-4F-DE-CA</t>
  </si>
  <si>
    <t>00-07-5F-BE-59-2D</t>
  </si>
  <si>
    <t>00-07-5F-BE-59-27</t>
  </si>
  <si>
    <t>00-07-5F-AB-BB-41</t>
  </si>
  <si>
    <t>00-04-63-4F-DB-B6</t>
  </si>
  <si>
    <t>C0:6D:ED:A3:E6:63</t>
  </si>
  <si>
    <t>C0:6D:ED:A3:66:6A</t>
  </si>
  <si>
    <t>E4-30-22-4F-9E-62</t>
  </si>
  <si>
    <t>00-07-5F-B7-56-89</t>
  </si>
  <si>
    <t>00-07-5F-B4-17-A8</t>
  </si>
  <si>
    <t>00-07-5F-B6-B8-A5</t>
  </si>
  <si>
    <t>00-07-5F-B6-B8-D3</t>
  </si>
  <si>
    <t>00-07-5F-B4-42-C7</t>
  </si>
  <si>
    <t>00-07-5F-B4-16-8D</t>
  </si>
  <si>
    <t>A0-FF-0C-D1-BD-7F</t>
  </si>
  <si>
    <t>A0-FF-0C-D4-AF-AD</t>
  </si>
  <si>
    <t>A0:FF:0C:EF:DF:AB</t>
  </si>
  <si>
    <t>A0:FF:0C:EF:DF:AD</t>
  </si>
  <si>
    <t>00-07-5F-85-FC-FB</t>
  </si>
  <si>
    <t>00-07-5F-85-DF-9D</t>
  </si>
  <si>
    <t>00-07-5F-E6-65-A8</t>
  </si>
  <si>
    <t>00-04-63-5A-E0-85</t>
  </si>
  <si>
    <t>00-07-5F-81-9C-7F</t>
  </si>
  <si>
    <t>00-07-5F-77-25-57</t>
  </si>
  <si>
    <t>00-07-5F-7A-71-56</t>
  </si>
  <si>
    <t>00-07-5F-76-FB-07</t>
  </si>
  <si>
    <t>00-07-5F-76-FC-7B</t>
  </si>
  <si>
    <t>00-07-5F-77-26-89</t>
  </si>
  <si>
    <t>00-07-5F-75-24-A1</t>
  </si>
  <si>
    <t>00-07-5F-77-2B-1B</t>
  </si>
  <si>
    <t>00-04-63-50-44-82</t>
  </si>
  <si>
    <t>00-07-5F-75-23-66</t>
  </si>
  <si>
    <t>00-07-5F-95-ED-8E</t>
  </si>
  <si>
    <t>00-04-63-5A-E0-93</t>
  </si>
  <si>
    <t>00-04-63-32-84-B7</t>
  </si>
  <si>
    <t>00-07-5F-8B-45-70</t>
  </si>
  <si>
    <t>00-04-63-32-A4-95</t>
  </si>
  <si>
    <t>00-07-5F-9B-B3-BC</t>
  </si>
  <si>
    <t>00-07-5F-77-2C-D8</t>
  </si>
  <si>
    <t>00-07-5F-76-F9-FD</t>
  </si>
  <si>
    <t>00-04-63-4F-C6-19</t>
  </si>
  <si>
    <t>00-04-63-50-5A-EE</t>
  </si>
  <si>
    <t>00-04-63-4F-C3-25</t>
  </si>
  <si>
    <t>00-04-63-4F-C5-D7</t>
  </si>
  <si>
    <t>00-04-63-50-55-A3</t>
  </si>
  <si>
    <t>00-04-63-4F-CC-7B</t>
  </si>
  <si>
    <t>00-04-63-50-58-BA</t>
  </si>
  <si>
    <t>00-04-63-4F-D6-F2</t>
  </si>
  <si>
    <t>00-07-5F-81-97-2A</t>
  </si>
  <si>
    <t>00-04-63-4F-DB-AC</t>
  </si>
  <si>
    <t>00-04-63-4F-C5-E0</t>
  </si>
  <si>
    <t>00-04-63-4F-DE-4E</t>
  </si>
  <si>
    <t>00-04-63-4F-C6-24</t>
  </si>
  <si>
    <t>00-07-5F-81-9C-AB</t>
  </si>
  <si>
    <t>00-07-5F-8B-26-4D</t>
  </si>
  <si>
    <t>00-07-5F-81-9B-F4</t>
  </si>
  <si>
    <t>00-07-5F-9F-CD-3D</t>
  </si>
  <si>
    <t>00-07-5F-81-9C-47</t>
  </si>
  <si>
    <t>00-04-63-50-45-6F</t>
  </si>
  <si>
    <t>00-07-5F-B7-8F-06</t>
  </si>
  <si>
    <t>00-07-5F-B6-B8-F9</t>
  </si>
  <si>
    <t>00-07-5F-87-9D-54</t>
  </si>
  <si>
    <t>00-04-63-4F-CF-3A</t>
  </si>
  <si>
    <t>00-07-5F-AD-3C-47</t>
  </si>
  <si>
    <t>00-04-63-5A-E1-03</t>
  </si>
  <si>
    <t>00-07-5F-81-9B-EB</t>
  </si>
  <si>
    <t>00:07:5F:81:AA:1F</t>
  </si>
  <si>
    <t>00-07-5F-96-E2-98</t>
  </si>
  <si>
    <t>00-07-5F-8B-30-98</t>
  </si>
  <si>
    <t>00-07-5F-81-9C-87</t>
  </si>
  <si>
    <t>00-07-5F-81-9C-8A</t>
  </si>
  <si>
    <t>00-07-5F-81-9C-74</t>
  </si>
  <si>
    <t>00-07-5F-7C-7D-EA</t>
  </si>
  <si>
    <t>00-07-5F-81-9C-A0</t>
  </si>
  <si>
    <t>00-07-5F-81-9D-01</t>
  </si>
  <si>
    <t>00-04-63-4F-DF-95</t>
  </si>
  <si>
    <t>00-07-5F-81-9C-86</t>
  </si>
  <si>
    <t>00-07-5F-BE-58-54</t>
  </si>
  <si>
    <t>00-07-5F-B6-B8-D2</t>
  </si>
  <si>
    <t>00-07-5F-B7-85-A1</t>
  </si>
  <si>
    <t>00-07-5F-B7-84-C0</t>
  </si>
  <si>
    <t>00-07-5F-B6-B9-B4</t>
  </si>
  <si>
    <t>00-07-5F-BE-59-32</t>
  </si>
  <si>
    <t>00-07-5F-BE-59-31</t>
  </si>
  <si>
    <t>00-07-5F-AB-BA-BE</t>
  </si>
  <si>
    <t>00-07-5F-AB-BB-44</t>
  </si>
  <si>
    <t>00-07-5F-76-EC-AC</t>
  </si>
  <si>
    <t>00-07-5F-AB-BB-47</t>
  </si>
  <si>
    <t>00-07-5F-81-B8-AF</t>
  </si>
  <si>
    <t>00-07-5F-B7-84-A4</t>
  </si>
  <si>
    <t>00-07-5F-B7-85-9C</t>
  </si>
  <si>
    <t>00-07-5F-B4-4E-B1</t>
  </si>
  <si>
    <t>00-07-5F-C0-16-79</t>
  </si>
  <si>
    <t>00-07-5F-B9-A4-AD</t>
  </si>
  <si>
    <t>00-07-5F-BC-E0-26</t>
  </si>
  <si>
    <t>00:07:5f:ab:b9:fe</t>
  </si>
  <si>
    <t>00-07-5F-D2-52-E4</t>
  </si>
  <si>
    <t>E4:30:22:45:E3:B7</t>
  </si>
  <si>
    <t>00-07-5F-CB-2D-82</t>
  </si>
  <si>
    <t>00-07-5F-B4-4E-A9</t>
  </si>
  <si>
    <t>E4-30-22-4F-9E-43</t>
  </si>
  <si>
    <t>A0-FF-0C-D1-BD-95</t>
  </si>
  <si>
    <t>a0:ff:0c:d4:af:b5</t>
  </si>
  <si>
    <t>3C:1B:F8:DF:95:82</t>
  </si>
  <si>
    <t>00:07:5F:E6:65:89</t>
  </si>
  <si>
    <t>C0:6D:ED:A7:2F:4A</t>
  </si>
  <si>
    <t>A4:18:94:05:47:41</t>
  </si>
  <si>
    <t>A4:18:94:05:48:26</t>
  </si>
  <si>
    <t>A4.18:94:05:4A:08</t>
  </si>
  <si>
    <t>00-04-63-50-44-84</t>
  </si>
  <si>
    <t>00-07-5F-BE-58-0F</t>
  </si>
  <si>
    <t>00-07-5F-BE-58-5C</t>
  </si>
  <si>
    <t>00-07-5F-77-01-B7</t>
  </si>
  <si>
    <t>00-07-5F-81-9C-9E</t>
  </si>
  <si>
    <t>00-07-5F-D2-4C-75</t>
  </si>
  <si>
    <t>00-07-5F-C1-94-BF</t>
  </si>
  <si>
    <t>00-07-5F-B6-A1-30</t>
  </si>
  <si>
    <t>00-07-5F-B6-C4-43</t>
  </si>
  <si>
    <t>00-07-5F-B6-B9-A6</t>
  </si>
  <si>
    <t>E4-30-22-4F-9E-3F</t>
  </si>
  <si>
    <t>A0-FF-0C-D1-BD-91</t>
  </si>
  <si>
    <t>00-07-5F-BE-58-F6</t>
  </si>
  <si>
    <t>00-07-5F-BE-58-0B</t>
  </si>
  <si>
    <t>00-07-5F-AB-B7-3E</t>
  </si>
  <si>
    <t>00-07-5F-BE-59-03</t>
  </si>
  <si>
    <t>C0:6D:ED:A3:E4:60</t>
  </si>
  <si>
    <t>A4:18:94:05:4A:03</t>
  </si>
  <si>
    <t>00-07-5F-81-B3-FC</t>
  </si>
  <si>
    <t>00-07-5F-8F-2B-DA</t>
  </si>
  <si>
    <t>00-04-63-59-22-9C</t>
  </si>
  <si>
    <t>00-04-63-59-22-93</t>
  </si>
  <si>
    <t>00-04-63-4F-DE-18</t>
  </si>
  <si>
    <t>00-07-5F-87-9F-40</t>
  </si>
  <si>
    <t>00-07-5F-81-AF-6C</t>
  </si>
  <si>
    <t>00-07-5F-B4-43-38</t>
  </si>
  <si>
    <t>00-07-5F-BC-DF-6D</t>
  </si>
  <si>
    <t>00-07-5F-B6-B8-9F</t>
  </si>
  <si>
    <t>00-07-5F-B7-8E-C5</t>
  </si>
  <si>
    <t>00-07-5F-CC-4F-9A</t>
  </si>
  <si>
    <t>00-07-5F-B6-C4-A8</t>
  </si>
  <si>
    <t>00-07-5F-B4-17-1D</t>
  </si>
  <si>
    <t>A4:18:94:05:4A:57</t>
  </si>
  <si>
    <t>C0:6D:ED:A3:E6:64</t>
  </si>
  <si>
    <t>00-04-63-5A-E0-B8</t>
  </si>
  <si>
    <t>00-07-5F-81-AA-BD</t>
  </si>
  <si>
    <t>00-07-5F-7A-DA-D3</t>
  </si>
  <si>
    <t>00-07-5F-87-8B-16</t>
  </si>
  <si>
    <t>00-07-5F-87-9C-09</t>
  </si>
  <si>
    <t>00-04-63-4F-DE-27</t>
  </si>
  <si>
    <t>00-07-5F-8B-26-5B</t>
  </si>
  <si>
    <t>00-07-5F-81-B8-50</t>
  </si>
  <si>
    <t>00-07-5F-81-AB-7B</t>
  </si>
  <si>
    <t>00-07-5F-81-9E-7D</t>
  </si>
  <si>
    <t>00-07-5F-81-9C-83</t>
  </si>
  <si>
    <t>00-07-5F-BE-59-01</t>
  </si>
  <si>
    <t>00-07-5F-B6-B8-B3</t>
  </si>
  <si>
    <t>00-07-5F-BC-DF-43</t>
  </si>
  <si>
    <t>00-07-5F-B6-B8-CC</t>
  </si>
  <si>
    <t>00:07:5F:BC:DF:E3</t>
  </si>
  <si>
    <t>00-07-5F--B6-B8-CB</t>
  </si>
  <si>
    <t>00-07-5F-D2-54-9D</t>
  </si>
  <si>
    <t>C0:63:ED:A3:E5:BB</t>
  </si>
  <si>
    <t>00-07-5F-81-AA-BA</t>
  </si>
  <si>
    <t>00-07-5F-81-9D-04</t>
  </si>
  <si>
    <t>00-07-5F-87-97-1C</t>
  </si>
  <si>
    <t>A0:FF:0C:D4:AF:B0</t>
  </si>
  <si>
    <t>00-04-63-59-22-96</t>
  </si>
  <si>
    <t>00-07-5F-81-AA-2D</t>
  </si>
  <si>
    <t>00-07-5F-B7-85-7B</t>
  </si>
  <si>
    <t>00-07-5F-BD-84-8F</t>
  </si>
  <si>
    <t>E4-30-22-4F-9R-3D</t>
  </si>
  <si>
    <t>A0-FF-0C-EF-DF-A8</t>
  </si>
  <si>
    <t>00-07-5F-D2-52-39</t>
  </si>
  <si>
    <t>00-07-5F-B6-B6-02</t>
  </si>
  <si>
    <t>00-07-5F-B4-43-84</t>
  </si>
  <si>
    <t>00:04:63:32:63:02</t>
  </si>
  <si>
    <t>00-07-5F-77-02-3D</t>
  </si>
  <si>
    <t>00:07:5F:9F:D6:EB</t>
  </si>
  <si>
    <t>00-07-5F-B6-C4-69</t>
  </si>
  <si>
    <t>00-07-5F-B4-42-AF</t>
  </si>
  <si>
    <t>00-04-63-3B-53-13</t>
  </si>
  <si>
    <t>00-04-63-50-58-F8</t>
  </si>
  <si>
    <t>00-07-5F-85-F8-23</t>
  </si>
  <si>
    <t>00-04-63-3B-51-32</t>
  </si>
  <si>
    <t>00-07-5F-81-AA-36</t>
  </si>
  <si>
    <t>00-07-5F-77-2C-AC</t>
  </si>
  <si>
    <t>00-07-5F-81-A8-7D</t>
  </si>
  <si>
    <t>00-07-5F-87-99-05</t>
  </si>
  <si>
    <t>00-07-5F-AB-B7-52</t>
  </si>
  <si>
    <t>00-07-5F-D2-52-ED</t>
  </si>
  <si>
    <t>00-07-5F-77-01-95</t>
  </si>
  <si>
    <t>00-07-5F-B7-85-FA</t>
  </si>
  <si>
    <t>00-07-5F-B6-B9-57</t>
  </si>
  <si>
    <t>00-07-5F-81-B8-C8</t>
  </si>
  <si>
    <t>00-07-5F-81-AA-30</t>
  </si>
  <si>
    <t>00-04-63-4F-D5-F6</t>
  </si>
  <si>
    <t>00-07-5F-87-52-F4</t>
  </si>
  <si>
    <t>E4-30-22-50-C4-66</t>
  </si>
  <si>
    <t>00-04-63-3B-53-B2</t>
  </si>
  <si>
    <t>00-04-63-3C-33-2C</t>
  </si>
  <si>
    <t>00-07-5F-77-04-A4</t>
  </si>
  <si>
    <t>00-07-5F-9F-CC-4A</t>
  </si>
  <si>
    <t>00-07-5F-81-9E-79</t>
  </si>
  <si>
    <t>00-07-5F-D2-53-3B</t>
  </si>
  <si>
    <t>E4-30-22-50-C4-79</t>
  </si>
  <si>
    <t>00-04-63-3B-431D</t>
  </si>
  <si>
    <t>00-07-5F-81-9E-7C</t>
  </si>
  <si>
    <t>00-07-5F-81-B6-7A</t>
  </si>
  <si>
    <t>00-04-63-4F-DE-3F</t>
  </si>
  <si>
    <t>3C:1B:F8:DF:95:3C</t>
  </si>
  <si>
    <t>3C:1B:F8:DF:95:3D</t>
  </si>
  <si>
    <t>00-04-63-59-22-51</t>
  </si>
  <si>
    <t>00-07-5F-81-9D-0A</t>
  </si>
  <si>
    <t>00-04-63-59-22-2F</t>
  </si>
  <si>
    <t>00-04-63-4F-CE-4E</t>
  </si>
  <si>
    <t>00-07-5F-EF-2A-42</t>
  </si>
  <si>
    <t>00-07-5F-81-AD-D4</t>
  </si>
  <si>
    <t>00-07-5F-81-9C-76</t>
  </si>
  <si>
    <t>00-07-5F-BE-58-12</t>
  </si>
  <si>
    <t>A0-FF-0C-D4-AF-C9</t>
  </si>
  <si>
    <t>A4-18-94-05-49-FA</t>
  </si>
  <si>
    <t>00-07-5F-81-AB-7E</t>
  </si>
  <si>
    <t>00-07-5F-BC-E0-0A</t>
  </si>
  <si>
    <t>00-07-5F-BC-DF-08</t>
  </si>
  <si>
    <t>00-07-5F-B4-43-46</t>
  </si>
  <si>
    <t>00-07-5F-B6-B9-4E</t>
  </si>
  <si>
    <t>00-07-5F-BE-5E-CB</t>
  </si>
  <si>
    <t>00-04-63-3C-20-15</t>
  </si>
  <si>
    <t>6C-1C-71-B8-1A-6A</t>
  </si>
  <si>
    <t>E0-50-8B-25-F8-4D</t>
  </si>
  <si>
    <t>00-07-5F-8E-DD-0A</t>
  </si>
  <si>
    <t>6C-1C-71-B8-1A-6C</t>
  </si>
  <si>
    <t>E4-30-22-4F-9E-4C</t>
  </si>
  <si>
    <t>00-04-63-32-A0-AB</t>
  </si>
  <si>
    <t>6C-1C-71-B8-1A-77</t>
  </si>
  <si>
    <t>E0-50-8B-14-4D-4C</t>
  </si>
  <si>
    <t>E0-50-8B-F7-00-15</t>
  </si>
  <si>
    <t>6C-1C-71-B8-1A-71</t>
  </si>
  <si>
    <t>E0-50-8B-26-6C-04</t>
  </si>
  <si>
    <t>E0-50-8B-94-49-58</t>
  </si>
  <si>
    <t>6C-1C-71-B8-1A-5A</t>
  </si>
  <si>
    <t>E0-50-8B-27-76-8B</t>
  </si>
  <si>
    <t>0C-38-3E-14-D5-08</t>
  </si>
  <si>
    <t>E0508B2776DB</t>
  </si>
  <si>
    <t>6c:1c:71:b8:1a:61</t>
  </si>
  <si>
    <t>E0-50-8B-C7-E6-6D</t>
  </si>
  <si>
    <t>00-07-5F-86-01-9C</t>
  </si>
  <si>
    <t>6C-1C-71-B8-1A-54</t>
  </si>
  <si>
    <t>00-04-63-4F-C5-20</t>
  </si>
  <si>
    <t>00-07-5F-85-F6-EF</t>
  </si>
  <si>
    <t>6C-1C-71-B8-1A-6E</t>
  </si>
  <si>
    <t>00-07-5F-81-9E-75</t>
  </si>
  <si>
    <t>00-07-5F-81-9D-05</t>
  </si>
  <si>
    <t>00-07-5F-B4-4F-3B</t>
  </si>
  <si>
    <t>00-07-5F-B7-84-95</t>
  </si>
  <si>
    <t>00-07-5F-BD-54-F5</t>
  </si>
  <si>
    <t>00-07-5F-B4-4E-CF</t>
  </si>
  <si>
    <t>A0-FF-0C-D1-BD-97</t>
  </si>
  <si>
    <t>A0-FF-0C-D1-BD-92</t>
  </si>
  <si>
    <t>A0-FF-0C-EF-DF-A7</t>
  </si>
  <si>
    <t>A0-FF-0C-EF-DF-A3</t>
  </si>
  <si>
    <t>00-07-5F-81-9D-00</t>
  </si>
  <si>
    <t>00-07-5F-81-9C-8C</t>
  </si>
  <si>
    <t>00-07-5F-B7-8F-07</t>
  </si>
  <si>
    <t>00-07-5F-B7-8E-A6</t>
  </si>
  <si>
    <t>00-07-5F-AD-24-5E</t>
  </si>
  <si>
    <t>00-07-5F-BE-59-30</t>
  </si>
  <si>
    <t>00-07-5F-AB-BB-4A</t>
  </si>
  <si>
    <t>00-04-63-50-42-C5</t>
  </si>
  <si>
    <t>00-07-5F-76-F1-3B</t>
  </si>
  <si>
    <t>00-07-5F-B7-85-3B</t>
  </si>
  <si>
    <t>00-07-5F-B7-85-4F</t>
  </si>
  <si>
    <t>00-07-5F-B7-84-DD</t>
  </si>
  <si>
    <t>00-07-5F-BD-69-75</t>
  </si>
  <si>
    <t>A0-FF-0C-D1-BD-90</t>
  </si>
  <si>
    <t>00-07-5F-81-AA-4A</t>
  </si>
  <si>
    <t>00-07-5F-B6-B8-E9</t>
  </si>
  <si>
    <t>00-07-5F-BC-DF-66</t>
  </si>
  <si>
    <t>00-07-5F-BE-59-04</t>
  </si>
  <si>
    <t>00-04-63-4F-D3-A0</t>
  </si>
  <si>
    <t>00-07-5F-B4-4F-0C</t>
  </si>
  <si>
    <t>00-07-5F-B4-17-AB</t>
  </si>
  <si>
    <t>00-07-5F-BC-DF-41</t>
  </si>
  <si>
    <t>00-07-5F-B6-B8-EA</t>
  </si>
  <si>
    <t>00-07-5F-87-52-ED</t>
  </si>
  <si>
    <t>00-07-5F-87-52-E0</t>
  </si>
  <si>
    <t>a4:18:94:05:49:67</t>
  </si>
  <si>
    <t>c0:6a:ed:a3:e6:6b</t>
  </si>
  <si>
    <t>c0:6d:ed:a3:e5:ba</t>
  </si>
  <si>
    <t>00-07-5F-9B-AA-15</t>
  </si>
  <si>
    <t>00-07-5F-81-9B-E8</t>
  </si>
  <si>
    <t>00-07-5F-75-23-75</t>
  </si>
  <si>
    <t>00-07-5F-B4-43-0A</t>
  </si>
  <si>
    <t>00-07-5F-BC-DF-2E</t>
  </si>
  <si>
    <t>E4-30-22-4F-9E-68</t>
  </si>
  <si>
    <t>E4-30-22-4F-9E-73</t>
  </si>
  <si>
    <t>00:07:5f:81:9c:a1</t>
  </si>
  <si>
    <t>00-07-5F-BE-58-F7</t>
  </si>
  <si>
    <t>00-07-5F-B6-C4-AA</t>
  </si>
  <si>
    <t>00-07-5F-B4-42-F8</t>
  </si>
  <si>
    <t>00-07-5F-B7-84-A7</t>
  </si>
  <si>
    <t>00-07-5F-B6-B8-E2</t>
  </si>
  <si>
    <t>00-07-5F-B6-8B-B9</t>
  </si>
  <si>
    <t>00-07-5F-B4-42-BE</t>
  </si>
  <si>
    <t>00-07-5F-B7-56-C0</t>
  </si>
  <si>
    <t>00-07-5F-B4-4F-05</t>
  </si>
  <si>
    <t>00-07-5F-E6-64-6C</t>
  </si>
  <si>
    <t>00-07-5F-BE-59-25</t>
  </si>
  <si>
    <t>00-07-5F-81-AA-BE</t>
  </si>
  <si>
    <t>A0-FF-0C-D1-BD-9E</t>
  </si>
  <si>
    <t>A0-FF-0C-EF-DF-9A</t>
  </si>
  <si>
    <t>A0-FF-0C-EF-DF-B2</t>
  </si>
  <si>
    <t>00-07-5F-7A-70-47</t>
  </si>
  <si>
    <t>00-04-63-50-44-6F</t>
  </si>
  <si>
    <t>00-07-5F-B4-18-12</t>
  </si>
  <si>
    <t>00-07-5F-B7-8E-D2</t>
  </si>
  <si>
    <t>00-07-5F-BC-DF-15</t>
  </si>
  <si>
    <t>00-07-5F-B7-84-E4</t>
  </si>
  <si>
    <t>A0-FF-0C-D1-BD-BA</t>
  </si>
  <si>
    <t>A0-FF-0C-D4-AF-7F</t>
  </si>
  <si>
    <t>00-07-5F-77-01-42</t>
  </si>
  <si>
    <t>00-07-5F-76-FC-EF</t>
  </si>
  <si>
    <t>00-04-63-32-6D-2A</t>
  </si>
  <si>
    <t>00-07-5F-81-AB-7D</t>
  </si>
  <si>
    <t>00:07:5f:81:9e:7a</t>
  </si>
  <si>
    <t>00-07-5F-B4-43-66</t>
  </si>
  <si>
    <t>00-07-5F-B4-4E-A5</t>
  </si>
  <si>
    <t>c0:6d:ed:a3:e6:40</t>
  </si>
  <si>
    <t>c0:6d:ed:a3:e6:6f</t>
  </si>
  <si>
    <t>00-07-5F-C0-16-F7</t>
  </si>
  <si>
    <t>00-07-5F-B7-84-BA</t>
  </si>
  <si>
    <t>00-07-5F-B6-C4-23</t>
  </si>
  <si>
    <t>00-07-5F-B6-B8-AB</t>
  </si>
  <si>
    <t>00-04-63-4F-DB-84</t>
  </si>
  <si>
    <t>00-07-5F-76-FF-B3</t>
  </si>
  <si>
    <t>00-07-5F-81-FD-F6</t>
  </si>
  <si>
    <t>00-07-5F-81-9B-EA</t>
  </si>
  <si>
    <t>00-04-63-4F-DB-B7</t>
  </si>
  <si>
    <t>00-07-5F-8B-0E-B0</t>
  </si>
  <si>
    <t>00-04-63-59-20-73</t>
  </si>
  <si>
    <t>00-07-5F-B6-C4-1E</t>
  </si>
  <si>
    <t>00-07-5F-B7-85-63</t>
  </si>
  <si>
    <t>00-07-5F-AB-BB-42</t>
  </si>
  <si>
    <t>00-07-5F-BC-67-B7</t>
  </si>
  <si>
    <t>00-07-5F-B6-C4-42</t>
  </si>
  <si>
    <t>00-07-5F-B6-C4-1C</t>
  </si>
  <si>
    <t>00-07-5F-BD-B1-E5</t>
  </si>
  <si>
    <t>00-07-5F-B7-84-C2</t>
  </si>
  <si>
    <t>00-07-5F-B7-85-40</t>
  </si>
  <si>
    <t>00-07-5F-B7-56-20</t>
  </si>
  <si>
    <t>00-07-5F-B7-92-b8</t>
  </si>
  <si>
    <t>00-07-5F-87-83-9A</t>
  </si>
  <si>
    <t>00-04-63-4F-CF-4B</t>
  </si>
  <si>
    <t>00-07-5F-87-7C-BC</t>
  </si>
  <si>
    <t>00-04-63-4F-CF-46</t>
  </si>
  <si>
    <t>00-04-63-50-45-A7</t>
  </si>
  <si>
    <t>00-04-63-4F-DE-2B</t>
  </si>
  <si>
    <t>00-07-5F-81-9C-73</t>
  </si>
  <si>
    <t>00-07-5F-77-2C-94</t>
  </si>
  <si>
    <t>00-07-5F-77-03-00</t>
  </si>
  <si>
    <t>00-07-5F-BC-DF-33</t>
  </si>
  <si>
    <t>00-07-5F-B7-85-RB</t>
  </si>
  <si>
    <t>00-07-5F-B6-8C-69</t>
  </si>
  <si>
    <t>00-07-5F-BC-DF-1A</t>
  </si>
  <si>
    <t>00-07-5F-95-99-63</t>
  </si>
  <si>
    <t>A0-FF-0C-D4-AF-9A</t>
  </si>
  <si>
    <t>00:07:5f:77:01:33</t>
  </si>
  <si>
    <t>00-07-5F-81-9C-95</t>
  </si>
  <si>
    <t>00:07:5F:BC:DF:B5</t>
  </si>
  <si>
    <t>00-07-5F-B6-B9-40</t>
  </si>
  <si>
    <t>00-07-5F-B4-4F-3E</t>
  </si>
  <si>
    <t>00-07-5F-BD-69-73</t>
  </si>
  <si>
    <t>00-04-63-59-22-64</t>
  </si>
  <si>
    <t>00-07-5F-AB-BB-52</t>
  </si>
  <si>
    <t>00-07-5F-AB-BB-50</t>
  </si>
  <si>
    <t>00-04-63-50-56-0B</t>
  </si>
  <si>
    <t>00-07-5F-7C-81-A6</t>
  </si>
  <si>
    <t>00-04-63-4F-DD-AF</t>
  </si>
  <si>
    <t>00-04-63-4F-DE-1D</t>
  </si>
  <si>
    <t>00-07-5F-81-B9-24</t>
  </si>
  <si>
    <t>00-07-5F-76-BF-BB</t>
  </si>
  <si>
    <t>00-07-5F-81-AA-AD</t>
  </si>
  <si>
    <t>00-07-5F-76-FD-92</t>
  </si>
  <si>
    <t>00-07-5F-76-FD-0D</t>
  </si>
  <si>
    <t>00-07-5F-87-8B-5C</t>
  </si>
  <si>
    <t>00-04-63-4F-DE-3E</t>
  </si>
  <si>
    <t>00-07-5F-81-9C-32</t>
  </si>
  <si>
    <t>00-07-5F-81-98-05</t>
  </si>
  <si>
    <t>00-07-5F-81-9C-FF</t>
  </si>
  <si>
    <t>00-07-5F-81-9E-7B</t>
  </si>
  <si>
    <t>00-07-5F-81-AA-A6</t>
  </si>
  <si>
    <t>00-07-5F-77-00-CC</t>
  </si>
  <si>
    <t>00-07-5F-77-02-63</t>
  </si>
  <si>
    <t>00-07-5F-BE-6B-F7</t>
  </si>
  <si>
    <t>00-07-5F-B4-17-F7</t>
  </si>
  <si>
    <t>00-07-5F-B4-4E-C7</t>
  </si>
  <si>
    <t>00-07-5F-B6-B8-DA</t>
  </si>
  <si>
    <t>00-07-5F-B6-B9-6F</t>
  </si>
  <si>
    <t>00-07-5F-BD-54-F7</t>
  </si>
  <si>
    <t>00:07:5f::b7:8e:af</t>
  </si>
  <si>
    <t>00-07-5F-D2-52-EA</t>
  </si>
  <si>
    <t>A0:FF:0C:EF:DF:A5</t>
  </si>
  <si>
    <t>A4:18:94:05:4A:75</t>
  </si>
  <si>
    <t>A4:18:94:05:48:20</t>
  </si>
  <si>
    <t>00-07-5F-9F-D6-8C</t>
  </si>
  <si>
    <t>00-04-63-50-45-C2</t>
  </si>
  <si>
    <t>AC-CC-8E-26-2F-95</t>
  </si>
  <si>
    <t>00-07-5F-BC-E7-B3</t>
  </si>
  <si>
    <t>00-07-5F-B4-2C-37</t>
  </si>
  <si>
    <t>00-07-5F-B7-8E-CB</t>
  </si>
  <si>
    <t>00:07:5f:d2:52:ef</t>
  </si>
  <si>
    <t>A0-FF-0C-D4-AF-7B</t>
  </si>
  <si>
    <t>00-04-63-59-26-3E</t>
  </si>
  <si>
    <t>00-07-5F-96-EA-01</t>
  </si>
  <si>
    <t>00-07-5F-9B-A1-EA</t>
  </si>
  <si>
    <t>00-07-5F-77-0B-02</t>
  </si>
  <si>
    <t>00-04-63-5A-E0-8C</t>
  </si>
  <si>
    <t>00-07-5F-81-AA-D2</t>
  </si>
  <si>
    <t>00-07-5F-81-AA-3C</t>
  </si>
  <si>
    <t>00-07-5F-B4-52-C7</t>
  </si>
  <si>
    <t>00-07-5F-B6-B8-A2</t>
  </si>
  <si>
    <t>00-07-5F-BE-58-4E</t>
  </si>
  <si>
    <t>00-07-5F-AB-BB-55</t>
  </si>
  <si>
    <t>00-07-5F-BE-58-FE</t>
  </si>
  <si>
    <t>00-07-5F-B4-17-0B</t>
  </si>
  <si>
    <t>00-07-5F-B6-B8-C3</t>
  </si>
  <si>
    <t>00-07-5F-87-9F-8E</t>
  </si>
  <si>
    <t>00-04-63-4F-D3-F8</t>
  </si>
  <si>
    <t>00-07-5F-B6-A1-33</t>
  </si>
  <si>
    <t>00-07-5F-B6-B9-5D</t>
  </si>
  <si>
    <t>00-07-5F-B4-42-D1</t>
  </si>
  <si>
    <t>00-07-5F-B4-43-5D</t>
  </si>
  <si>
    <t>00-07-5F-BD-55-94</t>
  </si>
  <si>
    <t>00-07-5F-BC-DF-28</t>
  </si>
  <si>
    <t>00-07-5F-D2-52-EE</t>
  </si>
  <si>
    <t>00-07-5F-75-24-78</t>
  </si>
  <si>
    <t>00-07-5F-8F-28-07</t>
  </si>
  <si>
    <t>00-07-5F-81-9C-84</t>
  </si>
  <si>
    <t>00-07-5F-81-9C-AC</t>
  </si>
  <si>
    <t>A0-FF-0C-EF-DF-AE</t>
  </si>
  <si>
    <t>3C-1B-F8-DF-95-45</t>
  </si>
  <si>
    <t>3C-1B-F8-DF-95-44</t>
  </si>
  <si>
    <t xml:space="preserve">ZEB 09 </t>
  </si>
  <si>
    <t>Tte.Gral Peron y Salta</t>
  </si>
  <si>
    <t>A4-18-94-05-51-15</t>
  </si>
  <si>
    <t>172.20.10.123</t>
  </si>
  <si>
    <t>172.20.10.220</t>
  </si>
  <si>
    <t>El Malambo y la Aguada</t>
  </si>
  <si>
    <t>VHS 06</t>
  </si>
  <si>
    <t>Av Hubson y Oliden</t>
  </si>
  <si>
    <t>172.20.8.43</t>
  </si>
  <si>
    <t>172.20.8.29</t>
  </si>
  <si>
    <t>CEN97</t>
  </si>
  <si>
    <t>25 de Mayo y Velez Sarsfield</t>
  </si>
  <si>
    <t>VDPL08</t>
  </si>
  <si>
    <t>Tte. Gral Perón y Tunez</t>
  </si>
  <si>
    <t>a4-18-94-05-4a-15</t>
  </si>
  <si>
    <t>VEST01</t>
  </si>
  <si>
    <t>Tte.Gral Perón y Garibaldi</t>
  </si>
  <si>
    <t>VILLA ESTER</t>
  </si>
  <si>
    <t>a4-18-94-05-4a-14</t>
  </si>
  <si>
    <t>STO01</t>
  </si>
  <si>
    <t>Tte. Gral Perón y La Paz</t>
  </si>
  <si>
    <t>a4-18-94-07-0a-2d</t>
  </si>
  <si>
    <t>a4-18-94-05-50-e5</t>
  </si>
  <si>
    <t>SJO14</t>
  </si>
  <si>
    <t>556 y 527</t>
  </si>
  <si>
    <t>a4-18-94-05-50db</t>
  </si>
  <si>
    <t>c0-6d-ed-a3-e5-b1</t>
  </si>
  <si>
    <t>c0-6d-ed-a3-e5-c7</t>
  </si>
  <si>
    <t>PAVE03</t>
  </si>
  <si>
    <t>Ptagones e Irala</t>
  </si>
  <si>
    <t>a4-18-94-05-50-c9</t>
  </si>
  <si>
    <t>PRESIDENTE AVELLANEDA</t>
  </si>
  <si>
    <t>3c-1b-f8-df-95-58</t>
  </si>
  <si>
    <t>a4-18-94-05-51-13</t>
  </si>
  <si>
    <t>c0-6d-ed-a3-e4-4c</t>
  </si>
  <si>
    <t>c0-6d-ed-a3-e4-5b</t>
  </si>
  <si>
    <t>a4-18-94-05-47-33</t>
  </si>
  <si>
    <t>c0-6d-ed-a7-2f-76</t>
  </si>
  <si>
    <t>c0-6d-ed-a3-e5-ad</t>
  </si>
  <si>
    <t>a4-18-94-05-4a-09</t>
  </si>
  <si>
    <t>a4-18-94-05-50-f9</t>
  </si>
  <si>
    <t>c0-6d-ed-a3-e5-b5</t>
  </si>
  <si>
    <t>c0-6d-ed-a3-e5-78</t>
  </si>
  <si>
    <t>ESM21</t>
  </si>
  <si>
    <t>Cabello Y Villar</t>
  </si>
  <si>
    <t>172.20.12.214</t>
  </si>
  <si>
    <t>a4-18-94-05-50-dd</t>
  </si>
  <si>
    <t>SRO27</t>
  </si>
  <si>
    <t>Milan E Novak y Alemania</t>
  </si>
  <si>
    <t>SEDU04</t>
  </si>
  <si>
    <t xml:space="preserve">San Martin Y Dans Rey </t>
  </si>
  <si>
    <t>172.20.8.46</t>
  </si>
  <si>
    <t>c0-6d-ed-9d-02-d3</t>
  </si>
  <si>
    <t>VCIR01</t>
  </si>
  <si>
    <t>San Martin e Yrigoyen</t>
  </si>
  <si>
    <t>172.20.8.47</t>
  </si>
  <si>
    <t>c0-6d-ed-9d-02-da</t>
  </si>
  <si>
    <t>00-07-5f-b4-42-d3</t>
  </si>
  <si>
    <t>00-07-5f-b7-85-79</t>
  </si>
  <si>
    <t>00-07-5f-d2-53-05</t>
  </si>
  <si>
    <t>c0-6d-ed--a3-e5-b0</t>
  </si>
  <si>
    <t>a4-18-94-05-50-c8</t>
  </si>
  <si>
    <t>c0-6d-ed-a3-e6-3a</t>
  </si>
  <si>
    <t>a4-18-94-05-4a-70</t>
  </si>
  <si>
    <t>a4-18-94-05-4a-01</t>
  </si>
  <si>
    <t>a4-18-94-05-49-69</t>
  </si>
  <si>
    <t>172.20.8.37</t>
  </si>
  <si>
    <t>a4-18-94-05-50-fc</t>
  </si>
  <si>
    <t>a4-18-94-05-51-14</t>
  </si>
  <si>
    <t>00-04-63-3c-99-ab</t>
  </si>
  <si>
    <t>Berutti y Casares</t>
  </si>
  <si>
    <t>a4-18-94-05-4a-0c</t>
  </si>
  <si>
    <t>172.20.12.179</t>
  </si>
  <si>
    <t>00-07-5f-76-fc-6b</t>
  </si>
  <si>
    <t>00-07-5f-81-9c-af</t>
  </si>
  <si>
    <t>00-07-5f-81-9b-f5</t>
  </si>
  <si>
    <t>00-04-63-4f-dd-ad</t>
  </si>
  <si>
    <t>00-07-5f--81-9b-ec</t>
  </si>
  <si>
    <t>KM20</t>
  </si>
  <si>
    <t xml:space="preserve">Novak y Pagani </t>
  </si>
  <si>
    <t>172.20.12.207</t>
  </si>
  <si>
    <t>C0-6D-ED-9D-02-A8</t>
  </si>
  <si>
    <t>172.20.11.129</t>
  </si>
  <si>
    <t>MALVINAS</t>
  </si>
  <si>
    <t>MAL01</t>
  </si>
  <si>
    <t>El zorzal y los laureles</t>
  </si>
  <si>
    <t>a4-18-94-07-0a-2b</t>
  </si>
  <si>
    <t>MAL02</t>
  </si>
  <si>
    <t>Casuarinas y el cardenal</t>
  </si>
  <si>
    <t>a4-18-94-07-0a-22</t>
  </si>
  <si>
    <t>CEN98</t>
  </si>
  <si>
    <t>España y Asunción</t>
  </si>
  <si>
    <t>a4-18-94-05-4a-10</t>
  </si>
  <si>
    <t>VAT31</t>
  </si>
  <si>
    <t>Eva Perón y Republica</t>
  </si>
  <si>
    <t>c0-6d-ed-9d-02-ac</t>
  </si>
  <si>
    <t>VAT32</t>
  </si>
  <si>
    <t>Corrientes y Republica</t>
  </si>
  <si>
    <t>a4-18-94-05-50-cb</t>
  </si>
  <si>
    <t>172.20.11.118</t>
  </si>
  <si>
    <t>ESM22</t>
  </si>
  <si>
    <t>Serrano y Davinson</t>
  </si>
  <si>
    <t>Azurduy y Ezeiza</t>
  </si>
  <si>
    <t>a4-18-94-05-49-68</t>
  </si>
  <si>
    <t>ROT06</t>
  </si>
  <si>
    <t>La Huella y Ezeiza</t>
  </si>
  <si>
    <t>a4-18-94-05-4a-58</t>
  </si>
  <si>
    <t>CAR08</t>
  </si>
  <si>
    <t>c0-6d-ed-a3-e5-d1</t>
  </si>
  <si>
    <t>CAR09</t>
  </si>
  <si>
    <t>calle 1148 y 1150 ( Fija 2 )</t>
  </si>
  <si>
    <t>Calle 1148 y 1150 ( Fija 1 )</t>
  </si>
  <si>
    <t>c0-6d-ed-a3-e5-d3</t>
  </si>
  <si>
    <t>SNA05</t>
  </si>
  <si>
    <t xml:space="preserve">Combate de los pozos y cantu </t>
  </si>
  <si>
    <t>Montevideo y El Chañar</t>
  </si>
  <si>
    <t>ROT05</t>
  </si>
  <si>
    <t>172.20.8.50</t>
  </si>
  <si>
    <t>172.20.8.64</t>
  </si>
  <si>
    <t>CEN99</t>
  </si>
  <si>
    <t>Castelli y Falucho</t>
  </si>
  <si>
    <t>172.20.8.74</t>
  </si>
  <si>
    <t>A4-18-94-05-4A-0B</t>
  </si>
  <si>
    <t>VSL 02</t>
  </si>
  <si>
    <t>1355 Y 1314</t>
  </si>
  <si>
    <t>172.20.8.70</t>
  </si>
  <si>
    <t>A4-18-94-05-50-DC</t>
  </si>
  <si>
    <t>SJU04</t>
  </si>
  <si>
    <t>Ruta 36 y San Jose</t>
  </si>
  <si>
    <t>172.20.8.73</t>
  </si>
  <si>
    <t>A4-18-94-05-48-23</t>
  </si>
  <si>
    <t>SAN JUAN</t>
  </si>
  <si>
    <t>LDM 05</t>
  </si>
  <si>
    <t>Las Heras y Riobamba</t>
  </si>
  <si>
    <t>172.20.8.75</t>
  </si>
  <si>
    <t>A4-18-94-07-0A-30</t>
  </si>
  <si>
    <t>VSL 03</t>
  </si>
  <si>
    <t>1314 y 1371</t>
  </si>
  <si>
    <t>SIR 20</t>
  </si>
  <si>
    <t>Darragueira y Monteverde</t>
  </si>
  <si>
    <t>LPR04</t>
  </si>
  <si>
    <t>Cacheuta y 1341</t>
  </si>
  <si>
    <t>A4-18-94-05-4A-12</t>
  </si>
  <si>
    <t>TDM01</t>
  </si>
  <si>
    <t>APAGADO</t>
  </si>
  <si>
    <t>FIAT01</t>
  </si>
  <si>
    <t>LPI08</t>
  </si>
  <si>
    <t>Agrelo y Newbery</t>
  </si>
  <si>
    <t>a4-18-94-05-48-1e</t>
  </si>
  <si>
    <t>ZEB 10</t>
  </si>
  <si>
    <t>Sallares y Jujuy</t>
  </si>
  <si>
    <t>172.20.8.56</t>
  </si>
  <si>
    <t>a4-18-94-05-47-3f</t>
  </si>
  <si>
    <t>VANG20</t>
  </si>
  <si>
    <t>CURIE Y BRAILE</t>
  </si>
  <si>
    <t>LUJ04</t>
  </si>
  <si>
    <t>LOS ALGARROBOS Y LA PALOMA</t>
  </si>
  <si>
    <t>172.20.12.206</t>
  </si>
  <si>
    <t>00-07-5F-77-01-96</t>
  </si>
  <si>
    <t>LUJ05</t>
  </si>
  <si>
    <t>LUJ06</t>
  </si>
  <si>
    <t>LOS PINOS Y LA PALOMA</t>
  </si>
  <si>
    <t xml:space="preserve">El malambo y  (417) La Tranquera </t>
  </si>
  <si>
    <t>AV Bosques y Altagracia</t>
  </si>
  <si>
    <t>172.20.8.52</t>
  </si>
  <si>
    <t>A4-18-94-05-A4-68</t>
  </si>
  <si>
    <t>DORI03</t>
  </si>
  <si>
    <t>Av Bosques y San Clemente</t>
  </si>
  <si>
    <t>172.20.8.55</t>
  </si>
  <si>
    <t>ESM 19</t>
  </si>
  <si>
    <t>Basualdo E Aniceto y Bengochea</t>
  </si>
  <si>
    <t>172.20.8.61</t>
  </si>
  <si>
    <t>CEN100</t>
  </si>
  <si>
    <t>Monteagudo y Almafuerte</t>
  </si>
  <si>
    <t>172.20.8.69</t>
  </si>
  <si>
    <t>a4-18--94-05-50-f6</t>
  </si>
  <si>
    <t>172.20.8.53</t>
  </si>
  <si>
    <t>a4-18-94-05-48-28</t>
  </si>
  <si>
    <t xml:space="preserve">AZARA Y NUESTRAS MALVINAS </t>
  </si>
  <si>
    <t>172.20.12.246</t>
  </si>
  <si>
    <t>[IP]</t>
  </si>
  <si>
    <t>BOSQ 07</t>
  </si>
  <si>
    <t>BOSQ 08</t>
  </si>
  <si>
    <t>BOSQ 09</t>
  </si>
  <si>
    <t>BOSQ 10</t>
  </si>
  <si>
    <t>BOSQ 11</t>
  </si>
  <si>
    <t>172.20.12.201</t>
  </si>
  <si>
    <t>172.20.8.58</t>
  </si>
  <si>
    <t>172.20.8.59</t>
  </si>
  <si>
    <t>172.20.12.04</t>
  </si>
  <si>
    <t>172.20.8.100</t>
  </si>
  <si>
    <t>172.20.8.63</t>
  </si>
  <si>
    <t>172.20.12.174</t>
  </si>
  <si>
    <t>172.20.12.187</t>
  </si>
  <si>
    <t>172.20.10.197</t>
  </si>
  <si>
    <t>172.20.10.199</t>
  </si>
  <si>
    <t>172.20.12.205</t>
  </si>
  <si>
    <t>172.20.11.34</t>
  </si>
  <si>
    <t>172.20.10.190</t>
  </si>
  <si>
    <t>172.20.8.51</t>
  </si>
  <si>
    <t>172.20.8.76</t>
  </si>
  <si>
    <t>172.20.12.32</t>
  </si>
  <si>
    <t>172.20.12.203</t>
  </si>
  <si>
    <t>MAR 03 (FIJA 2)</t>
  </si>
  <si>
    <t>MAR 04 (FIJA)</t>
  </si>
  <si>
    <t>Calle968 y Miguel Cané</t>
  </si>
  <si>
    <t>172.20.8.79</t>
  </si>
  <si>
    <t>MAR 05 (DOMO)</t>
  </si>
  <si>
    <t>172.20.8.80</t>
  </si>
  <si>
    <t>172.20.10.206</t>
  </si>
  <si>
    <t>172.20.12.189</t>
  </si>
  <si>
    <t>172.20.12.197</t>
  </si>
  <si>
    <t>172.20.8.54</t>
  </si>
  <si>
    <t>172.20.11.117</t>
  </si>
  <si>
    <t>172.20.10.213</t>
  </si>
  <si>
    <t>172.20.8.72</t>
  </si>
  <si>
    <t>172.20.10.233</t>
  </si>
  <si>
    <t>172.20.10.234</t>
  </si>
  <si>
    <t>172.20.8.48</t>
  </si>
  <si>
    <t>172.20.8.60</t>
  </si>
  <si>
    <t>172.20.12.208</t>
  </si>
  <si>
    <t>172.20.8.35</t>
  </si>
  <si>
    <t>172.20.12.159</t>
  </si>
  <si>
    <t>172.20.8.62</t>
  </si>
  <si>
    <t>172.20.8.49</t>
  </si>
  <si>
    <t>172.20.12.245</t>
  </si>
  <si>
    <t>172.20.8.33</t>
  </si>
  <si>
    <t>172.20.8.32</t>
  </si>
  <si>
    <t>172.20.8.71</t>
  </si>
  <si>
    <t>172.20.8.31</t>
  </si>
  <si>
    <t>GPON A FO</t>
  </si>
  <si>
    <t>A03</t>
  </si>
  <si>
    <t>00-07-5F-9F-A1-64</t>
  </si>
  <si>
    <t>BOSQ 12</t>
  </si>
  <si>
    <t>Colectora R.36 y San Antonio</t>
  </si>
  <si>
    <t>172.20.8.84</t>
  </si>
  <si>
    <t>5C-34-5B-4B-DC-29</t>
  </si>
  <si>
    <t>PTO A GPON</t>
  </si>
  <si>
    <t>CEN 01</t>
  </si>
  <si>
    <t>CEN 02</t>
  </si>
  <si>
    <t>CEN 03</t>
  </si>
  <si>
    <t>CEN 04</t>
  </si>
  <si>
    <t>CEN 06</t>
  </si>
  <si>
    <t>00-07-5F-8E-DB-4A</t>
  </si>
  <si>
    <t>CEN 07</t>
  </si>
  <si>
    <t>CEN 08</t>
  </si>
  <si>
    <t>CEN 09</t>
  </si>
  <si>
    <t>CEN 10</t>
  </si>
  <si>
    <t>00-04-63-3C-33-FE</t>
  </si>
  <si>
    <t>172.20.12.06</t>
  </si>
  <si>
    <t>00-07-5F-76-EC-BF</t>
  </si>
  <si>
    <t>FO A GPON</t>
  </si>
  <si>
    <t>COL 01</t>
  </si>
  <si>
    <t>COL 02</t>
  </si>
  <si>
    <t>10.20.30.37</t>
  </si>
  <si>
    <t>COL 05</t>
  </si>
  <si>
    <t>PLAZA CALLE 604 A Y AUSTRIA</t>
  </si>
  <si>
    <t>172,20,8,81</t>
  </si>
  <si>
    <t>A4-18-94-05-50-F8</t>
  </si>
  <si>
    <t>DJO 07</t>
  </si>
  <si>
    <t>DJO 08</t>
  </si>
  <si>
    <t>C0:6D:ED:A3:E5:97</t>
  </si>
  <si>
    <t>DJO 09</t>
  </si>
  <si>
    <t>C0:6D:ED:9D:03:C8</t>
  </si>
  <si>
    <t>DJO O6</t>
  </si>
  <si>
    <t>00-07-5F-BC-DF-A3</t>
  </si>
  <si>
    <t>00-07-5F-BC-DF-2A</t>
  </si>
  <si>
    <t>DJO 01</t>
  </si>
  <si>
    <t>00-07-5F-87-9C-72</t>
  </si>
  <si>
    <t>A4:18:94:05:48:2C</t>
  </si>
  <si>
    <t>00-07-5F-81-9C-8E</t>
  </si>
  <si>
    <t>00-07-5F-B6-B8-F0</t>
  </si>
  <si>
    <t>00-07-5F-E6-70-69</t>
  </si>
  <si>
    <t>C0-6D-ED-A3-E5-D2</t>
  </si>
  <si>
    <t>KM 21</t>
  </si>
  <si>
    <t>EL PONCHO Y ARROYO LAS PIEDRAS</t>
  </si>
  <si>
    <t>172.20.8.83</t>
  </si>
  <si>
    <t>5C-34-5B-4B-DC-2C</t>
  </si>
  <si>
    <t>00-07-5F-76-D1</t>
  </si>
  <si>
    <t>LDM03</t>
  </si>
  <si>
    <t>00-07-5F-B6-8B-29</t>
  </si>
  <si>
    <t>00-07-5F-BC-DF-C1</t>
  </si>
  <si>
    <t>A4-18-94-07-0A-29</t>
  </si>
  <si>
    <t>00-07-5F-7C-82-B0</t>
  </si>
  <si>
    <t>A4-18-94-05-49-F2</t>
  </si>
  <si>
    <t>172.20.12.215</t>
  </si>
  <si>
    <t>A4-18-94-05-50-FE</t>
  </si>
  <si>
    <t>00-07-5F-BE-59-28</t>
  </si>
  <si>
    <t>C0-6D-ED-A3-E5-E8</t>
  </si>
  <si>
    <t>A4-18-94-05-4A-0A</t>
  </si>
  <si>
    <t>00-07-F5-81-AA-0D</t>
  </si>
  <si>
    <t>PTO GPON</t>
  </si>
  <si>
    <t>00-07-5F-BC-DF-0F</t>
  </si>
  <si>
    <t>00-07-5F-BD-55-9C</t>
  </si>
  <si>
    <t>00-07-5F-76-F2-7A</t>
  </si>
  <si>
    <t>00-07-5F-E6-64-6B</t>
  </si>
  <si>
    <t>00:07:5F:81:B0:72</t>
  </si>
  <si>
    <t>A4-18-94-05-51-D0</t>
  </si>
  <si>
    <t>A4-18-94-05-48-1F</t>
  </si>
  <si>
    <t>00-07-5F-B7-55-A3</t>
  </si>
  <si>
    <t>00-07-5F-B7-8F-0B</t>
  </si>
  <si>
    <t>C0:6D:ED:A3:E6:36</t>
  </si>
  <si>
    <t>C0:6D:ED:A3:E6:67</t>
  </si>
  <si>
    <t>00-07-5F-76-FA-FC</t>
  </si>
  <si>
    <t>C0-6D-ED-A3-E5-A2</t>
  </si>
  <si>
    <t>PUNTO SEGURO SANTA ROSA</t>
  </si>
  <si>
    <t>Yugoslavia y Milan</t>
  </si>
  <si>
    <t>00-07-5F-81-AA-AE</t>
  </si>
  <si>
    <t>00-07-5F-81-AA-B1</t>
  </si>
  <si>
    <t>00-07-5F-81-AA-D1</t>
  </si>
  <si>
    <t>A4-18-94-05-50-E4</t>
  </si>
  <si>
    <t>A4-18-94-05-50-F2</t>
  </si>
  <si>
    <t>C0-6D-ED-A3-E5-9C</t>
  </si>
  <si>
    <t>C0-6D-ED-A3-E4-A3</t>
  </si>
  <si>
    <t>C0-6D-ED-9D-02-73</t>
  </si>
  <si>
    <t>C0-6D-ED-A3-E4-5A</t>
  </si>
  <si>
    <t>00-07-5F-81-AA-BC</t>
  </si>
  <si>
    <t>00-07-5F-BC-C5-6A</t>
  </si>
  <si>
    <t>00-07-5F-B7-85-E6</t>
  </si>
  <si>
    <t>00-07-5F-B7-8E-C8</t>
  </si>
  <si>
    <t>00-07-5F-B6-C4-3A</t>
  </si>
  <si>
    <t>00-07-5F-81-9C-A6</t>
  </si>
  <si>
    <t>A4-18-94-05-A4-0F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</si>
</sst>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Times New Roman"/>
      <family val="1"/>
    </font>
    <font>
      <sz val="8"/>
      <name val="Calibri"/>
      <family val="2"/>
      <scheme val="minor"/>
    </font>
    <font>
      <sz val="10"/>
      <color rgb="FF222222"/>
      <name val="Roboto"/>
    </font>
    <font>
      <sz val="10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FF0000"/>
      </patternFill>
    </fill>
  </fills>
  <borders count="12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 style="thick">
        <color auto="1"/>
      </top>
      <bottom style="mediumDashed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tted">
        <color auto="1"/>
      </left>
      <right/>
      <top style="mediumDashed">
        <color auto="1"/>
      </top>
      <bottom style="medium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1">
    <xf numFmtId="0" fontId="0" fillId="0" borderId="0" xfId="0"/>
    <xf numFmtId="9" fontId="0" fillId="2" borderId="1" xfId="1" applyFont="1" applyFill="1" applyBorder="1" applyAlignment="1">
      <alignment horizontal="left"/>
    </xf>
    <xf numFmtId="9" fontId="0" fillId="3" borderId="0" xfId="1" applyFont="1" applyFill="1" applyAlignment="1">
      <alignment horizontal="center"/>
    </xf>
    <xf numFmtId="9" fontId="0" fillId="3" borderId="4" xfId="1" applyFont="1" applyFill="1" applyBorder="1" applyAlignment="1">
      <alignment horizontal="center"/>
    </xf>
    <xf numFmtId="9" fontId="0" fillId="0" borderId="0" xfId="1" applyFont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6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9" fontId="0" fillId="0" borderId="0" xfId="1" applyFont="1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0" borderId="0" xfId="0" applyAlignment="1">
      <alignment horizontal="right"/>
    </xf>
    <xf numFmtId="0" fontId="0" fillId="7" borderId="8" xfId="0" applyFill="1" applyBorder="1" applyAlignment="1">
      <alignment horizontal="center" vertical="center" wrapText="1"/>
    </xf>
    <xf numFmtId="9" fontId="2" fillId="3" borderId="0" xfId="1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2" borderId="2" xfId="1" applyNumberFormat="1" applyFont="1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9" fontId="0" fillId="0" borderId="10" xfId="1" applyFont="1" applyBorder="1" applyAlignment="1">
      <alignment horizontal="center"/>
    </xf>
    <xf numFmtId="0" fontId="0" fillId="2" borderId="0" xfId="1" applyNumberFormat="1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2" borderId="0" xfId="0" applyFill="1" applyAlignment="1">
      <alignment horizontal="left"/>
    </xf>
    <xf numFmtId="9" fontId="0" fillId="3" borderId="3" xfId="1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9" fontId="0" fillId="3" borderId="0" xfId="1" applyFont="1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/>
    <xf numFmtId="0" fontId="0" fillId="8" borderId="3" xfId="0" applyFill="1" applyBorder="1" applyAlignment="1">
      <alignment horizontal="right"/>
    </xf>
    <xf numFmtId="0" fontId="0" fillId="8" borderId="4" xfId="0" applyFill="1" applyBorder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/>
    <xf numFmtId="0" fontId="6" fillId="8" borderId="3" xfId="0" applyFon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9" fontId="0" fillId="9" borderId="10" xfId="1" applyFont="1" applyFill="1" applyBorder="1" applyAlignment="1">
      <alignment horizontal="center"/>
    </xf>
    <xf numFmtId="0" fontId="0" fillId="9" borderId="3" xfId="0" applyFill="1" applyBorder="1" applyAlignment="1">
      <alignment horizontal="right"/>
    </xf>
    <xf numFmtId="0" fontId="0" fillId="11" borderId="0" xfId="0" applyFill="1"/>
    <xf numFmtId="0" fontId="0" fillId="11" borderId="3" xfId="0" applyFill="1" applyBorder="1" applyAlignment="1">
      <alignment horizontal="right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 wrapText="1"/>
    </xf>
    <xf numFmtId="9" fontId="0" fillId="4" borderId="0" xfId="1" applyFont="1" applyFill="1" applyAlignment="1">
      <alignment horizontal="center" wrapText="1"/>
    </xf>
    <xf numFmtId="16" fontId="3" fillId="7" borderId="9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horizontal="center"/>
    </xf>
    <xf numFmtId="0" fontId="0" fillId="12" borderId="3" xfId="0" applyFill="1" applyBorder="1" applyAlignment="1">
      <alignment horizontal="left"/>
    </xf>
    <xf numFmtId="0" fontId="0" fillId="12" borderId="0" xfId="0" applyFill="1" applyAlignment="1">
      <alignment horizontal="left"/>
    </xf>
    <xf numFmtId="0" fontId="0" fillId="12" borderId="0" xfId="0" applyFill="1" applyAlignment="1">
      <alignment horizontal="center" vertical="center"/>
    </xf>
    <xf numFmtId="0" fontId="0" fillId="12" borderId="0" xfId="0" applyFill="1"/>
    <xf numFmtId="0" fontId="0" fillId="12" borderId="4" xfId="0" applyFill="1" applyBorder="1" applyAlignment="1">
      <alignment horizontal="center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left"/>
    </xf>
    <xf numFmtId="0" fontId="0" fillId="13" borderId="0" xfId="0" applyFill="1"/>
    <xf numFmtId="0" fontId="0" fillId="13" borderId="4" xfId="0" applyFill="1" applyBorder="1" applyAlignment="1">
      <alignment horizontal="center"/>
    </xf>
    <xf numFmtId="9" fontId="0" fillId="11" borderId="10" xfId="1" applyFont="1" applyFill="1" applyBorder="1" applyAlignment="1">
      <alignment horizontal="center"/>
    </xf>
    <xf numFmtId="9" fontId="0" fillId="4" borderId="10" xfId="1" applyFont="1" applyFill="1" applyBorder="1" applyAlignment="1">
      <alignment horizontal="center"/>
    </xf>
    <xf numFmtId="0" fontId="6" fillId="9" borderId="11" xfId="0" applyFont="1" applyFill="1" applyBorder="1"/>
    <xf numFmtId="0" fontId="0" fillId="3" borderId="3" xfId="0" applyFill="1" applyBorder="1" applyAlignment="1">
      <alignment horizontal="right"/>
    </xf>
    <xf numFmtId="49" fontId="0" fillId="0" borderId="0" xfId="0" applyNumberFormat="1"/>
    <xf numFmtId="0" fontId="5" fillId="0" borderId="0" xfId="0" applyFont="1"/>
    <xf numFmtId="0" fontId="0" fillId="9" borderId="0" xfId="0" applyFill="1" applyAlignment="1">
      <alignment horizontal="left"/>
    </xf>
    <xf numFmtId="0" fontId="0" fillId="11" borderId="0" xfId="0" applyFill="1" applyAlignment="1">
      <alignment horizontal="left"/>
    </xf>
    <xf numFmtId="49" fontId="0" fillId="9" borderId="0" xfId="0" applyNumberFormat="1" applyFill="1"/>
    <xf numFmtId="3" fontId="0" fillId="9" borderId="0" xfId="0" applyNumberFormat="1" applyFill="1" applyAlignment="1">
      <alignment horizontal="left"/>
    </xf>
    <xf numFmtId="0" fontId="5" fillId="9" borderId="0" xfId="0" applyFont="1" applyFill="1"/>
    <xf numFmtId="0" fontId="0" fillId="3" borderId="0" xfId="0" applyFill="1" applyAlignment="1">
      <alignment horizontal="left"/>
    </xf>
    <xf numFmtId="0" fontId="6" fillId="3" borderId="11" xfId="0" applyFont="1" applyFill="1" applyBorder="1"/>
    <xf numFmtId="9" fontId="0" fillId="3" borderId="10" xfId="1" applyFont="1" applyFill="1" applyBorder="1" applyAlignment="1">
      <alignment horizontal="center"/>
    </xf>
    <xf numFmtId="0" fontId="6" fillId="0" borderId="11" xfId="0" applyFont="1" applyBorder="1"/>
    <xf numFmtId="9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right"/>
    </xf>
    <xf numFmtId="0" fontId="0" fillId="14" borderId="0" xfId="0" applyFill="1"/>
    <xf numFmtId="9" fontId="0" fillId="14" borderId="10" xfId="1" applyFont="1" applyFill="1" applyBorder="1" applyAlignment="1">
      <alignment horizontal="center"/>
    </xf>
    <xf numFmtId="0" fontId="0" fillId="14" borderId="3" xfId="0" applyFill="1" applyBorder="1" applyAlignment="1">
      <alignment horizontal="right"/>
    </xf>
  </cellXfs>
  <cellStyles count="2">
    <cellStyle name="Normal" xfId="0" builtinId="0"/>
    <cellStyle name="Porcentaje" xfId="1" builtinId="5"/>
  </cellStyles>
  <dxfs count="237"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strike val="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strike val="0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5 de agosto" connectionId="1" xr16:uid="{00000000-0016-0000-0000-000000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_25_de_agosto_3" connectionId="2" xr16:uid="{56353CC7-9C88-4304-95F9-A6F17666DB57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192"/>
  <sheetViews>
    <sheetView tabSelected="1" zoomScale="80" zoomScaleNormal="80" workbookViewId="0">
      <pane xSplit="12" ySplit="7" topLeftCell="M549" activePane="bottomRight" state="frozen"/>
      <selection pane="topRight" activeCell="M1" sqref="M1"/>
      <selection pane="bottomLeft" activeCell="A5" sqref="A5"/>
      <selection pane="bottomRight" activeCell="B9" sqref="B9"/>
    </sheetView>
  </sheetViews>
  <sheetFormatPr baseColWidth="10" defaultColWidth="11.5703125" defaultRowHeight="15" x14ac:dyDescent="0.25"/>
  <cols>
    <col min="1" max="1" width="20.5703125" hidden="1" customWidth="1"/>
    <col min="2" max="2" width="38.42578125" style="23" customWidth="1"/>
    <col min="3" max="3" width="15.85546875" style="23" customWidth="1"/>
    <col min="4" max="4" width="44.140625" customWidth="1"/>
    <col min="5" max="5" width="21.140625" style="30" customWidth="1"/>
    <col min="6" max="6" width="21.140625" style="34" customWidth="1"/>
    <col min="7" max="7" width="21.140625" style="34" hidden="1" customWidth="1"/>
    <col min="8" max="8" width="21.140625" style="34" customWidth="1"/>
    <col min="9" max="9" width="21.140625" hidden="1" customWidth="1"/>
    <col min="10" max="10" width="21.140625" customWidth="1"/>
    <col min="11" max="11" width="21.140625" hidden="1" customWidth="1"/>
    <col min="12" max="12" width="31.5703125" style="4" hidden="1" customWidth="1"/>
    <col min="13" max="13" width="21.140625" style="12" customWidth="1"/>
    <col min="14" max="17" width="14.42578125" style="12" customWidth="1"/>
    <col min="18" max="18" width="13.42578125" style="12" customWidth="1"/>
    <col min="19" max="21" width="14.42578125" style="12" customWidth="1"/>
    <col min="22" max="38" width="14.140625" style="12" customWidth="1"/>
    <col min="39" max="40" width="14.140625" style="12" bestFit="1" customWidth="1"/>
  </cols>
  <sheetData>
    <row r="1" spans="1:40" s="4" customFormat="1" ht="27.75" customHeight="1" thickTop="1" x14ac:dyDescent="0.25">
      <c r="A1" s="1" t="s">
        <v>0</v>
      </c>
      <c r="B1" s="18">
        <f>COUNTA(B8:B744)</f>
        <v>589</v>
      </c>
      <c r="C1" s="25"/>
      <c r="D1" s="2" t="s">
        <v>1</v>
      </c>
      <c r="E1" s="28"/>
      <c r="F1" s="31"/>
      <c r="G1" s="31"/>
      <c r="H1" s="31"/>
      <c r="I1" s="15"/>
      <c r="J1" s="15"/>
      <c r="K1" s="15"/>
      <c r="L1" s="2"/>
      <c r="M1" s="3">
        <f t="shared" ref="M1:Y1" si="0">(M3)/(M2+M3)</f>
        <v>0.10486322188449848</v>
      </c>
      <c r="N1" s="3">
        <f t="shared" si="0"/>
        <v>0.1035007610350076</v>
      </c>
      <c r="O1" s="3">
        <f t="shared" si="0"/>
        <v>0.10076335877862595</v>
      </c>
      <c r="P1" s="3">
        <f t="shared" si="0"/>
        <v>0.10757575757575757</v>
      </c>
      <c r="Q1" s="3">
        <f t="shared" si="0"/>
        <v>0.1035007610350076</v>
      </c>
      <c r="R1" s="3">
        <f t="shared" si="0"/>
        <v>0.10892586989409984</v>
      </c>
      <c r="S1" s="3">
        <f t="shared" si="0"/>
        <v>0</v>
      </c>
      <c r="T1" s="3">
        <f t="shared" si="0"/>
        <v>0</v>
      </c>
      <c r="U1" s="3">
        <f t="shared" si="0"/>
        <v>0.11958146487294469</v>
      </c>
      <c r="V1" s="3">
        <f t="shared" si="0"/>
        <v>0.14884393063583815</v>
      </c>
      <c r="W1" s="3">
        <f t="shared" si="0"/>
        <v>0.12481426448736999</v>
      </c>
      <c r="X1" s="3">
        <f t="shared" si="0"/>
        <v>0.13509544787077826</v>
      </c>
      <c r="Y1" s="3">
        <f t="shared" si="0"/>
        <v>0</v>
      </c>
      <c r="Z1" s="3"/>
      <c r="AA1" s="3">
        <f t="shared" ref="AA1:AN1" si="1">(AA3)/(AA2+AA3)</f>
        <v>0</v>
      </c>
      <c r="AB1" s="3">
        <f t="shared" si="1"/>
        <v>0</v>
      </c>
      <c r="AC1" s="3">
        <f t="shared" si="1"/>
        <v>0</v>
      </c>
      <c r="AD1" s="3">
        <f t="shared" si="1"/>
        <v>0</v>
      </c>
      <c r="AE1" s="3">
        <f t="shared" si="1"/>
        <v>0</v>
      </c>
      <c r="AF1" s="3">
        <f t="shared" si="1"/>
        <v>0</v>
      </c>
      <c r="AG1" s="3">
        <f t="shared" si="1"/>
        <v>0</v>
      </c>
      <c r="AH1" s="3">
        <f t="shared" si="1"/>
        <v>0</v>
      </c>
      <c r="AI1" s="3">
        <f t="shared" si="1"/>
        <v>0</v>
      </c>
      <c r="AJ1" s="3">
        <f t="shared" si="1"/>
        <v>0</v>
      </c>
      <c r="AK1" s="3">
        <f t="shared" si="1"/>
        <v>0</v>
      </c>
      <c r="AL1" s="3">
        <f t="shared" si="1"/>
        <v>0</v>
      </c>
      <c r="AM1" s="3">
        <f t="shared" si="1"/>
        <v>0</v>
      </c>
      <c r="AN1" s="3">
        <f t="shared" si="1"/>
        <v>0</v>
      </c>
    </row>
    <row r="2" spans="1:40" s="8" customFormat="1" x14ac:dyDescent="0.25">
      <c r="A2" s="5"/>
      <c r="B2" s="19"/>
      <c r="C2" s="27"/>
      <c r="D2" s="6" t="s">
        <v>5</v>
      </c>
      <c r="E2" s="29"/>
      <c r="F2" s="32"/>
      <c r="G2" s="32"/>
      <c r="H2" s="32"/>
      <c r="I2" s="17"/>
      <c r="J2" s="17"/>
      <c r="K2" s="17"/>
      <c r="L2" s="21"/>
      <c r="M2" s="7">
        <f t="shared" ref="M2:AN2" si="2">CANTIDAD_DE_CAMARAS</f>
        <v>589</v>
      </c>
      <c r="N2" s="7">
        <f t="shared" si="2"/>
        <v>589</v>
      </c>
      <c r="O2" s="7">
        <f t="shared" si="2"/>
        <v>589</v>
      </c>
      <c r="P2" s="7">
        <f t="shared" si="2"/>
        <v>589</v>
      </c>
      <c r="Q2" s="7">
        <f t="shared" si="2"/>
        <v>589</v>
      </c>
      <c r="R2" s="7">
        <f t="shared" si="2"/>
        <v>589</v>
      </c>
      <c r="S2" s="7">
        <f t="shared" si="2"/>
        <v>589</v>
      </c>
      <c r="T2" s="7">
        <f t="shared" si="2"/>
        <v>589</v>
      </c>
      <c r="U2" s="7">
        <f t="shared" si="2"/>
        <v>589</v>
      </c>
      <c r="V2" s="7">
        <f t="shared" si="2"/>
        <v>589</v>
      </c>
      <c r="W2" s="7">
        <f t="shared" si="2"/>
        <v>589</v>
      </c>
      <c r="X2" s="7">
        <f t="shared" si="2"/>
        <v>589</v>
      </c>
      <c r="Y2" s="7">
        <f t="shared" si="2"/>
        <v>589</v>
      </c>
      <c r="Z2" s="7">
        <f t="shared" si="2"/>
        <v>589</v>
      </c>
      <c r="AA2" s="7">
        <f t="shared" si="2"/>
        <v>589</v>
      </c>
      <c r="AB2" s="7">
        <f t="shared" si="2"/>
        <v>589</v>
      </c>
      <c r="AC2" s="7">
        <f t="shared" si="2"/>
        <v>589</v>
      </c>
      <c r="AD2" s="7">
        <f t="shared" si="2"/>
        <v>589</v>
      </c>
      <c r="AE2" s="7">
        <f t="shared" si="2"/>
        <v>589</v>
      </c>
      <c r="AF2" s="7">
        <f t="shared" si="2"/>
        <v>589</v>
      </c>
      <c r="AG2" s="7">
        <f t="shared" si="2"/>
        <v>589</v>
      </c>
      <c r="AH2" s="7">
        <f t="shared" si="2"/>
        <v>589</v>
      </c>
      <c r="AI2" s="7">
        <f t="shared" si="2"/>
        <v>589</v>
      </c>
      <c r="AJ2" s="7">
        <f t="shared" si="2"/>
        <v>589</v>
      </c>
      <c r="AK2" s="7">
        <f t="shared" si="2"/>
        <v>589</v>
      </c>
      <c r="AL2" s="7">
        <f t="shared" si="2"/>
        <v>589</v>
      </c>
      <c r="AM2" s="7">
        <f t="shared" si="2"/>
        <v>589</v>
      </c>
      <c r="AN2" s="7">
        <f t="shared" si="2"/>
        <v>589</v>
      </c>
    </row>
    <row r="3" spans="1:40" s="8" customFormat="1" ht="15.75" thickBot="1" x14ac:dyDescent="0.3">
      <c r="A3" s="9"/>
      <c r="B3" s="20"/>
      <c r="C3" s="27"/>
      <c r="D3" s="51" t="s">
        <v>6</v>
      </c>
      <c r="E3" s="52"/>
      <c r="F3" s="53"/>
      <c r="G3" s="33"/>
      <c r="H3" s="53"/>
      <c r="I3" s="54"/>
      <c r="J3" s="54"/>
      <c r="K3" s="54"/>
      <c r="L3" s="55"/>
      <c r="M3" s="56">
        <f t="shared" ref="M3:AN3" si="3">COUNTIF(M7:M744, "apagado")</f>
        <v>69</v>
      </c>
      <c r="N3" s="56">
        <f t="shared" si="3"/>
        <v>68</v>
      </c>
      <c r="O3" s="56">
        <f t="shared" si="3"/>
        <v>66</v>
      </c>
      <c r="P3" s="56">
        <f t="shared" si="3"/>
        <v>71</v>
      </c>
      <c r="Q3" s="56">
        <f t="shared" si="3"/>
        <v>68</v>
      </c>
      <c r="R3" s="56">
        <f t="shared" si="3"/>
        <v>72</v>
      </c>
      <c r="S3" s="56">
        <f t="shared" si="3"/>
        <v>0</v>
      </c>
      <c r="T3" s="56">
        <f t="shared" si="3"/>
        <v>0</v>
      </c>
      <c r="U3" s="56">
        <f t="shared" si="3"/>
        <v>80</v>
      </c>
      <c r="V3" s="56">
        <f t="shared" si="3"/>
        <v>103</v>
      </c>
      <c r="W3" s="56">
        <f t="shared" si="3"/>
        <v>84</v>
      </c>
      <c r="X3" s="56">
        <f t="shared" si="3"/>
        <v>92</v>
      </c>
      <c r="Y3" s="56">
        <f t="shared" si="3"/>
        <v>0</v>
      </c>
      <c r="Z3" s="56">
        <f t="shared" si="3"/>
        <v>0</v>
      </c>
      <c r="AA3" s="56">
        <f t="shared" si="3"/>
        <v>0</v>
      </c>
      <c r="AB3" s="56">
        <f t="shared" si="3"/>
        <v>0</v>
      </c>
      <c r="AC3" s="56">
        <f t="shared" si="3"/>
        <v>0</v>
      </c>
      <c r="AD3" s="56">
        <f t="shared" si="3"/>
        <v>0</v>
      </c>
      <c r="AE3" s="56">
        <f t="shared" si="3"/>
        <v>0</v>
      </c>
      <c r="AF3" s="56">
        <f t="shared" si="3"/>
        <v>0</v>
      </c>
      <c r="AG3" s="56">
        <f t="shared" si="3"/>
        <v>0</v>
      </c>
      <c r="AH3" s="56">
        <f t="shared" si="3"/>
        <v>0</v>
      </c>
      <c r="AI3" s="56">
        <f t="shared" si="3"/>
        <v>0</v>
      </c>
      <c r="AJ3" s="56">
        <f t="shared" si="3"/>
        <v>0</v>
      </c>
      <c r="AK3" s="56">
        <f t="shared" si="3"/>
        <v>0</v>
      </c>
      <c r="AL3" s="56">
        <f t="shared" si="3"/>
        <v>0</v>
      </c>
      <c r="AM3" s="56">
        <f t="shared" si="3"/>
        <v>0</v>
      </c>
      <c r="AN3" s="56">
        <f t="shared" si="3"/>
        <v>0</v>
      </c>
    </row>
    <row r="4" spans="1:40" s="8" customFormat="1" ht="15.75" thickTop="1" x14ac:dyDescent="0.25">
      <c r="A4" s="46"/>
      <c r="B4" s="27"/>
      <c r="C4" s="27"/>
      <c r="D4" s="16" t="s">
        <v>1413</v>
      </c>
      <c r="E4" s="33"/>
      <c r="F4" s="33"/>
      <c r="G4" s="33"/>
      <c r="H4" s="33"/>
      <c r="I4" s="16"/>
      <c r="J4" s="16"/>
      <c r="K4" s="16"/>
      <c r="L4" s="22"/>
      <c r="M4" s="10">
        <f>COUNTIFS(M8:M698, "=APAGADO",F8:F698,"=Fibra Optica")</f>
        <v>22</v>
      </c>
      <c r="N4" s="10">
        <f>COUNTIFS(N8:N698, "=APAGADO",F8:F698,"=Fibra Optica")</f>
        <v>21</v>
      </c>
      <c r="O4" s="10">
        <f>COUNTIFS(O8:O698, "=APAGADO",F8:F698,"=Fibra Optica")</f>
        <v>20</v>
      </c>
      <c r="P4" s="10">
        <f>COUNTIFS(P8:P698, "=APAGADO",F8:F698,"=Fibra Optica")</f>
        <v>21</v>
      </c>
      <c r="Q4" s="10">
        <f>COUNTIFS(Q8:Q698, "=APAGADO",F8:F698,"=Fibra Optica")</f>
        <v>19</v>
      </c>
      <c r="R4" s="10">
        <f>COUNTIFS(R8:R698, "=APAGADO",F8:F698,"=Fibra Optica")</f>
        <v>19</v>
      </c>
      <c r="S4" s="10">
        <f>COUNTIFS(S8:S698, "=APAGADO",F8:F698,"=Fibra Optica")</f>
        <v>0</v>
      </c>
      <c r="T4" s="10">
        <f>COUNTIFS(T8:T698, "=APAGADO",F8:F698,"=Fibra Optica")</f>
        <v>0</v>
      </c>
      <c r="U4" s="10">
        <f>COUNTIFS(U8:U698, "=APAGADO",F8:F698,"=Fibra Optica")</f>
        <v>26</v>
      </c>
      <c r="V4" s="10">
        <f>COUNTIFS(V8:V698, "=APAGADO",F8:F698,"=Fibra Optica")</f>
        <v>46</v>
      </c>
      <c r="W4" s="10">
        <f>COUNTIFS(W8:W698, "=APAGADO",F8:F698,"=Fibra Optica")</f>
        <v>35</v>
      </c>
      <c r="X4" s="10">
        <f>COUNTIFS(X8:X698, "=APAGADO",F8:F698,"=Fibra Optica")</f>
        <v>40</v>
      </c>
      <c r="Y4" s="10">
        <f>COUNTIFS(Y8:Y698, "=APAGADO",F8:F698,"=Fibra Optica")</f>
        <v>0</v>
      </c>
      <c r="Z4" s="10">
        <f>COUNTIFS(Z8:Z698, "=APAGADO",F8:F698,"=Fibra Optica")</f>
        <v>0</v>
      </c>
      <c r="AA4" s="10">
        <f>COUNTIFS(AA8:AA698, "=APAGADO",F8:F698,"=Fibra Optica")</f>
        <v>0</v>
      </c>
      <c r="AB4" s="10">
        <f>COUNTIFS(AB8:AB698, "=APAGADO",F8:F698,"=Fibra Optica")</f>
        <v>0</v>
      </c>
      <c r="AC4" s="10">
        <f>COUNTIFS(AC8:AC698, "=APAGADO",F8:F698,"=Fibra Optica")</f>
        <v>0</v>
      </c>
      <c r="AD4" s="10">
        <f>COUNTIFS(AD8:AD698, "=APAGADO",F8:F698,"=Fibra Optica")</f>
        <v>0</v>
      </c>
      <c r="AE4" s="10">
        <f>COUNTIFS(AE8:AE698, "=APAGADO",F8:F698,"=Fibra Optica")</f>
        <v>0</v>
      </c>
      <c r="AF4" s="10">
        <f>COUNTIFS(AF8:AF698, "=APAGADO",F8:F698,"=Fibra Optica")</f>
        <v>0</v>
      </c>
      <c r="AG4" s="10">
        <f>COUNTIFS(AG8:AG698, "=APAGADO",F8:F698,"=Fibra Optica")</f>
        <v>0</v>
      </c>
      <c r="AH4" s="10">
        <f>COUNTIFS(AH8:AH698, "=APAGADO",F8:F698,"=Fibra Optica")</f>
        <v>0</v>
      </c>
      <c r="AI4" s="10">
        <f>COUNTIFS(AI8:AI698, "=APAGADO",F8:F698,"=Fibra Optica")</f>
        <v>0</v>
      </c>
      <c r="AJ4" s="10">
        <f>COUNTIFS(AJ8:AJ698, "=APAGADO",F8:F698,"=Fibra Optica")</f>
        <v>0</v>
      </c>
      <c r="AK4" s="10">
        <f>COUNTIFS(AK8:AK698, "=APAGADO",F8:F698,"=Fibra Optica")</f>
        <v>0</v>
      </c>
      <c r="AL4" s="10">
        <f>COUNTIFS(AL8:AL698, "=APAGADO",F8:F698,"=Fibra Optica")</f>
        <v>0</v>
      </c>
      <c r="AM4" s="10">
        <f>COUNTIFS(AM8:AM698, "=APAGADO",F8:F698,"=Fibra Optica")</f>
        <v>0</v>
      </c>
      <c r="AN4" s="10">
        <f>COUNTIFS(AN8:AN698, "=APAGADO",F8:F698,"=Fibra Optica")</f>
        <v>0</v>
      </c>
    </row>
    <row r="5" spans="1:40" s="8" customFormat="1" x14ac:dyDescent="0.25">
      <c r="A5" s="46"/>
      <c r="B5" s="27"/>
      <c r="C5" s="27"/>
      <c r="D5" s="57" t="s">
        <v>1414</v>
      </c>
      <c r="E5" s="58"/>
      <c r="F5" s="58"/>
      <c r="G5" s="33"/>
      <c r="H5" s="58"/>
      <c r="I5" s="57"/>
      <c r="J5" s="57"/>
      <c r="K5" s="57"/>
      <c r="L5" s="59"/>
      <c r="M5" s="60">
        <f>COUNTIFS(M8:M698, "=APAGADO",F8:F698,"=RADIO")</f>
        <v>6</v>
      </c>
      <c r="N5" s="60">
        <f>COUNTIFS(N8:N698, "=APAGADO",F8:F698,"=RADIO")</f>
        <v>6</v>
      </c>
      <c r="O5" s="60">
        <f>COUNTIFS(O8:O698, "=APAGADO",F8:F698,"=RADIO")</f>
        <v>7</v>
      </c>
      <c r="P5" s="60">
        <f>COUNTIFS(P8:P698, "=APAGADO",F8:F698,"=RADIO")</f>
        <v>6</v>
      </c>
      <c r="Q5" s="60">
        <f>COUNTIFS(Q8:Q698, "=APAGADO",F8:F698,"=RADIO")</f>
        <v>5</v>
      </c>
      <c r="R5" s="60">
        <f>COUNTIFS(R8:R698, "=APAGADO",F8:F698,"=RADIO")</f>
        <v>6</v>
      </c>
      <c r="S5" s="60">
        <f>COUNTIFS(S8:S698, "=APAGADO",F8:F698,"=RADIO")</f>
        <v>0</v>
      </c>
      <c r="T5" s="60">
        <f>COUNTIFS(T8:T698, "=APAGADO",F8:F698,"=RADIO")</f>
        <v>0</v>
      </c>
      <c r="U5" s="60">
        <f>COUNTIFS(U8:U698, "=APAGADO",F8:F698,"=RADIO")</f>
        <v>6</v>
      </c>
      <c r="V5" s="60">
        <f>COUNTIFS(V8:V698, "=APAGADO",F8:F698,"=RADIO")</f>
        <v>7</v>
      </c>
      <c r="W5" s="60">
        <f>COUNTIFS(W8:W698, "=APAGADO",F8:F698,"=RADIO")</f>
        <v>6</v>
      </c>
      <c r="X5" s="60">
        <f>COUNTIFS(X8:X698, "=APAGADO",F8:F698,"=RADIO")</f>
        <v>5</v>
      </c>
      <c r="Y5" s="60">
        <f>COUNTIFS(Y8:Y698, "=APAGADO",F8:F698,"=RADIO")</f>
        <v>0</v>
      </c>
      <c r="Z5" s="60">
        <f>COUNTIFS(Z8:Z698, "=APAGADO",F8:F698,"=RADIO")</f>
        <v>0</v>
      </c>
      <c r="AA5" s="60">
        <f>COUNTIFS(AA8:AA698, "=APAGADO",F8:F698,"=RADIO")</f>
        <v>0</v>
      </c>
      <c r="AB5" s="60">
        <f>COUNTIFS(AB8:AB698, "=APAGADO",F8:F698,"=RADIO")</f>
        <v>0</v>
      </c>
      <c r="AC5" s="60">
        <f>COUNTIFS(AC8:AC698, "=APAGADO",F8:F698,"=RADIO")</f>
        <v>0</v>
      </c>
      <c r="AD5" s="60">
        <f>COUNTIFS(AD8:AD698, "=APAGADO",F8:F698,"=RADIO")</f>
        <v>0</v>
      </c>
      <c r="AE5" s="60">
        <f>COUNTIFS(AE8:AE698, "=APAGADO",F8:F698,"=RADIO")</f>
        <v>0</v>
      </c>
      <c r="AF5" s="60">
        <f>COUNTIFS(AF8:AF698, "=APAGADO",F8:F698,"=RADIO")</f>
        <v>0</v>
      </c>
      <c r="AG5" s="60">
        <f>COUNTIFS(AG8:AG698, "=APAGADO",F8:F698,"=RADIO")</f>
        <v>0</v>
      </c>
      <c r="AH5" s="60">
        <f>COUNTIFS(AH8:AH698, "=APAGADO",F8:F698,"=RADIO")</f>
        <v>0</v>
      </c>
      <c r="AI5" s="60">
        <f>COUNTIFS(AI8:AI698, "=APAGADO",F8:F698,"=RADIO")</f>
        <v>0</v>
      </c>
      <c r="AJ5" s="60">
        <f>COUNTIFS(AJ8:AJ698, "=APAGADO",F8:F698,"=RADIO")</f>
        <v>0</v>
      </c>
      <c r="AK5" s="60">
        <f>COUNTIFS(AK8:AK698, "=APAGADO",F8:F698,"=RADIO")</f>
        <v>0</v>
      </c>
      <c r="AL5" s="60">
        <f>COUNTIFS(AL8:AL698, "=APAGADO",F8:F698,"=RADIO")</f>
        <v>0</v>
      </c>
      <c r="AM5" s="60">
        <f>COUNTIFS(AM8:AM698, "=APAGADO",F8:F698,"=RADIO")</f>
        <v>0</v>
      </c>
      <c r="AN5" s="60">
        <f>COUNTIFS(AN8:AN698, "=APAGADO",F8:F698,"=RADIO")</f>
        <v>0</v>
      </c>
    </row>
    <row r="6" spans="1:40" s="8" customFormat="1" ht="15.75" thickBot="1" x14ac:dyDescent="0.3">
      <c r="A6" s="46"/>
      <c r="B6" s="27"/>
      <c r="C6" s="27"/>
      <c r="D6" s="16" t="s">
        <v>1415</v>
      </c>
      <c r="E6" s="33"/>
      <c r="F6" s="33"/>
      <c r="G6" s="33"/>
      <c r="H6" s="33"/>
      <c r="I6" s="16"/>
      <c r="J6" s="16"/>
      <c r="K6" s="16"/>
      <c r="L6" s="22"/>
      <c r="M6" s="10">
        <f>COUNTIFS(M8:M698, "=APAGADO",F8:F698,"=PTO A FO")</f>
        <v>4</v>
      </c>
      <c r="N6" s="10">
        <f>COUNTIFS(N8:N698, "=APAGADO",F8:F698,"=PTO A FO")</f>
        <v>4</v>
      </c>
      <c r="O6" s="10">
        <f>COUNTIFS(O8:O698, "=APAGADO",F8:F698,"=PTO A FO")</f>
        <v>5</v>
      </c>
      <c r="P6" s="10">
        <f>COUNTIFS(P8:P698, "=APAGADO",F8:F698,"=PTO A FO")</f>
        <v>6</v>
      </c>
      <c r="Q6" s="10">
        <f>COUNTIFS(Q8:Q698, "=APAGADO",F8:F698,"=PTO A FO")</f>
        <v>6</v>
      </c>
      <c r="R6" s="10">
        <f>COUNTIFS(R8:R698, "=APAGADO",F8:F698,"=PTO A FO")</f>
        <v>7</v>
      </c>
      <c r="S6" s="10">
        <f>COUNTIFS(S8:S698, "=APAGADO",F8:F698,"=PTO A FO")</f>
        <v>0</v>
      </c>
      <c r="T6" s="10">
        <f>COUNTIFS(T8:T698, "=APAGADO",F8:F698,"=PTO A FO")</f>
        <v>0</v>
      </c>
      <c r="U6" s="10">
        <f>COUNTIFS(U8:U698, "=APAGADO",F8:F698,"=PTO A FO")</f>
        <v>4</v>
      </c>
      <c r="V6" s="10">
        <f>COUNTIFS(V8:V698, "=APAGADO",F8:F698,"=PTO A FO")</f>
        <v>5</v>
      </c>
      <c r="W6" s="10">
        <f>COUNTIFS(W8:W698, "=APAGADO",F8:F698,"=PTO A FO")</f>
        <v>5</v>
      </c>
      <c r="X6" s="10">
        <f>COUNTIFS(X8:X698, "=APAGADO",F8:F698,"=PTO A FO")</f>
        <v>6</v>
      </c>
      <c r="Y6" s="10">
        <f>COUNTIFS(Y8:Y698, "=APAGADO",F8:F698,"=PTO A FO")</f>
        <v>0</v>
      </c>
      <c r="Z6" s="10">
        <f>COUNTIFS(Z8:Z698, "=APAGADO",F8:F698,"=PTO A FO")</f>
        <v>0</v>
      </c>
      <c r="AA6" s="10">
        <f>COUNTIFS(AA8:AA698, "=APAGADO",F8:F698,"=PTO A FO")</f>
        <v>0</v>
      </c>
      <c r="AB6" s="10">
        <f>COUNTIFS(AB8:AB698, "=APAGADO",F8:F698,"=PTO A FO")</f>
        <v>0</v>
      </c>
      <c r="AC6" s="10">
        <f>COUNTIFS(AC8:AC698, "=APAGADO",F8:F698,"=PTO A FO")</f>
        <v>0</v>
      </c>
      <c r="AD6" s="10">
        <f>COUNTIFS(AD8:AD698, "=APAGADO",F8:F698,"=PTO A FO")</f>
        <v>0</v>
      </c>
      <c r="AE6" s="10">
        <f>COUNTIFS(AE8:AE698, "=APAGADO",F8:F698,"=PTO A FO")</f>
        <v>0</v>
      </c>
      <c r="AF6" s="10">
        <f>COUNTIFS(AF8:AF698, "=APAGADO",F8:F698,"=PTO A FO")</f>
        <v>0</v>
      </c>
      <c r="AG6" s="10">
        <f>COUNTIFS(AG8:AG698, "=APAGADO",F8:F698,"=PTO A FO")</f>
        <v>0</v>
      </c>
      <c r="AH6" s="10">
        <f>COUNTIFS(AH8:AH698, "=APAGADO",F8:F698,"=PTO A FO")</f>
        <v>0</v>
      </c>
      <c r="AI6" s="10">
        <f>COUNTIFS(AI8:AI698, "=APAGADO",F8:F698,"=PTO A FO")</f>
        <v>0</v>
      </c>
      <c r="AJ6" s="10">
        <f>COUNTIFS(AJ8:AJ698, "=APAGADO",F8:F698,"=PTO A FO")</f>
        <v>0</v>
      </c>
      <c r="AK6" s="10">
        <f>COUNTIFS(AK8:AK698, "=APAGADO",F8:F698,"=PTO A FO")</f>
        <v>0</v>
      </c>
      <c r="AL6" s="10">
        <f>COUNTIFS(AL8:AL698, "=APAGADO",F8:F698,"=PTO A FO")</f>
        <v>0</v>
      </c>
      <c r="AM6" s="10">
        <f>COUNTIFS(AM8:AM698, "=APAGADO",F8:F698,"=PTO A FO")</f>
        <v>0</v>
      </c>
      <c r="AN6" s="10">
        <f>COUNTIFS(AN8:AN698, "=APAGADO",F8:F698,"=PTO A FO")</f>
        <v>0</v>
      </c>
    </row>
    <row r="7" spans="1:40" s="50" customFormat="1" ht="32.25" thickTop="1" thickBot="1" x14ac:dyDescent="0.35">
      <c r="A7" s="26" t="s">
        <v>7</v>
      </c>
      <c r="B7" s="47" t="s">
        <v>8</v>
      </c>
      <c r="C7" s="26" t="s">
        <v>1038</v>
      </c>
      <c r="D7" s="26" t="s">
        <v>9</v>
      </c>
      <c r="E7" s="47" t="s">
        <v>10</v>
      </c>
      <c r="F7" s="47" t="s">
        <v>11</v>
      </c>
      <c r="G7" s="47" t="s">
        <v>1215</v>
      </c>
      <c r="H7" s="47" t="s">
        <v>2224</v>
      </c>
      <c r="I7" s="14" t="s">
        <v>2</v>
      </c>
      <c r="J7" s="14" t="s">
        <v>1595</v>
      </c>
      <c r="K7" s="14" t="s">
        <v>3</v>
      </c>
      <c r="L7" s="48" t="s">
        <v>4</v>
      </c>
      <c r="M7" s="49">
        <v>46054</v>
      </c>
      <c r="N7" s="49">
        <v>46055</v>
      </c>
      <c r="O7" s="49">
        <v>46056</v>
      </c>
      <c r="P7" s="49">
        <v>46057</v>
      </c>
      <c r="Q7" s="49">
        <v>46058</v>
      </c>
      <c r="R7" s="49">
        <v>46059</v>
      </c>
      <c r="S7" s="49">
        <v>46060</v>
      </c>
      <c r="T7" s="49">
        <v>46061</v>
      </c>
      <c r="U7" s="49">
        <v>46062</v>
      </c>
      <c r="V7" s="49">
        <v>46063</v>
      </c>
      <c r="W7" s="49">
        <v>46064</v>
      </c>
      <c r="X7" s="49">
        <v>46065</v>
      </c>
      <c r="Y7" s="49">
        <v>46066</v>
      </c>
      <c r="Z7" s="49">
        <v>46067</v>
      </c>
      <c r="AA7" s="49">
        <v>46068</v>
      </c>
      <c r="AB7" s="49">
        <v>46069</v>
      </c>
      <c r="AC7" s="49">
        <v>46070</v>
      </c>
      <c r="AD7" s="49">
        <v>46071</v>
      </c>
      <c r="AE7" s="49">
        <v>46072</v>
      </c>
      <c r="AF7" s="49">
        <v>46073</v>
      </c>
      <c r="AG7" s="49">
        <v>46074</v>
      </c>
      <c r="AH7" s="49">
        <v>46075</v>
      </c>
      <c r="AI7" s="49">
        <v>46076</v>
      </c>
      <c r="AJ7" s="49">
        <v>46077</v>
      </c>
      <c r="AK7" s="49">
        <v>46078</v>
      </c>
      <c r="AL7" s="49">
        <v>46079</v>
      </c>
      <c r="AM7" s="49">
        <v>46080</v>
      </c>
      <c r="AN7" s="49">
        <v>46081</v>
      </c>
    </row>
    <row r="8" spans="1:40" ht="15.75" thickBot="1" x14ac:dyDescent="0.3">
      <c r="A8" t="s">
        <v>25</v>
      </c>
      <c r="B8" s="39" t="s">
        <v>893</v>
      </c>
      <c r="C8" s="39" t="s">
        <v>1039</v>
      </c>
      <c r="D8" s="39" t="s">
        <v>32</v>
      </c>
      <c r="E8" s="67" t="s">
        <v>18</v>
      </c>
      <c r="F8" s="67" t="s">
        <v>1267</v>
      </c>
      <c r="G8" s="67"/>
      <c r="H8" s="67" t="s">
        <v>599</v>
      </c>
      <c r="I8" s="67"/>
      <c r="J8" s="63" t="s">
        <v>1598</v>
      </c>
      <c r="K8" s="63" t="s">
        <v>1598</v>
      </c>
      <c r="L8" s="24" t="e">
        <f t="shared" ref="L8:L86" si="4">(I8)/(K8+I8)</f>
        <v>#VALUE!</v>
      </c>
      <c r="M8" s="36"/>
      <c r="N8" s="36"/>
      <c r="O8" s="36"/>
      <c r="P8" s="36" t="s">
        <v>2188</v>
      </c>
      <c r="Q8" s="36" t="s">
        <v>2188</v>
      </c>
      <c r="R8" s="36" t="s">
        <v>2188</v>
      </c>
      <c r="S8" s="36"/>
      <c r="T8" s="36"/>
      <c r="U8" s="36" t="s">
        <v>2188</v>
      </c>
      <c r="V8" s="36" t="s">
        <v>2188</v>
      </c>
      <c r="W8" s="36" t="s">
        <v>2188</v>
      </c>
      <c r="X8" s="36" t="s">
        <v>2188</v>
      </c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</row>
    <row r="9" spans="1:40" ht="15.75" thickBot="1" x14ac:dyDescent="0.3">
      <c r="A9" t="s">
        <v>25</v>
      </c>
      <c r="B9" s="39" t="s">
        <v>894</v>
      </c>
      <c r="C9" s="39" t="s">
        <v>1039</v>
      </c>
      <c r="D9" s="39" t="s">
        <v>33</v>
      </c>
      <c r="E9" s="67" t="s">
        <v>18</v>
      </c>
      <c r="F9" s="67" t="s">
        <v>1267</v>
      </c>
      <c r="G9" s="67"/>
      <c r="H9" s="67" t="s">
        <v>600</v>
      </c>
      <c r="I9" s="67"/>
      <c r="J9" s="63" t="s">
        <v>1599</v>
      </c>
      <c r="K9" s="63" t="s">
        <v>1599</v>
      </c>
      <c r="L9" s="24" t="e">
        <f t="shared" si="4"/>
        <v>#VALUE!</v>
      </c>
      <c r="M9" s="36" t="s">
        <v>2188</v>
      </c>
      <c r="N9" s="36" t="s">
        <v>2188</v>
      </c>
      <c r="O9" s="36" t="s">
        <v>2188</v>
      </c>
      <c r="P9" s="36" t="s">
        <v>2188</v>
      </c>
      <c r="Q9" s="36" t="s">
        <v>2188</v>
      </c>
      <c r="R9" s="36" t="s">
        <v>2188</v>
      </c>
      <c r="S9" s="36"/>
      <c r="T9" s="36"/>
      <c r="U9" s="36" t="s">
        <v>2188</v>
      </c>
      <c r="V9" s="36" t="s">
        <v>2188</v>
      </c>
      <c r="W9" s="36" t="s">
        <v>2188</v>
      </c>
      <c r="X9" s="36" t="s">
        <v>2188</v>
      </c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</row>
    <row r="10" spans="1:40" s="39" customFormat="1" ht="15.75" thickBot="1" x14ac:dyDescent="0.3">
      <c r="A10" s="39" t="s">
        <v>25</v>
      </c>
      <c r="B10" s="39" t="s">
        <v>895</v>
      </c>
      <c r="C10" s="39" t="s">
        <v>1039</v>
      </c>
      <c r="D10" s="39" t="s">
        <v>26</v>
      </c>
      <c r="E10" s="67" t="s">
        <v>18</v>
      </c>
      <c r="F10" s="67" t="s">
        <v>1267</v>
      </c>
      <c r="G10" s="67" t="s">
        <v>1217</v>
      </c>
      <c r="H10" s="67" t="s">
        <v>602</v>
      </c>
      <c r="I10" s="67"/>
      <c r="J10" s="63" t="s">
        <v>1601</v>
      </c>
      <c r="K10" s="63" t="s">
        <v>1601</v>
      </c>
      <c r="L10" s="62" t="e">
        <f t="shared" si="4"/>
        <v>#VALUE!</v>
      </c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</row>
    <row r="11" spans="1:40" s="39" customFormat="1" ht="15.75" thickBot="1" x14ac:dyDescent="0.3">
      <c r="A11" s="39" t="s">
        <v>25</v>
      </c>
      <c r="B11" t="s">
        <v>896</v>
      </c>
      <c r="C11" t="s">
        <v>1039</v>
      </c>
      <c r="D11" t="s">
        <v>38</v>
      </c>
      <c r="E11" s="23" t="s">
        <v>15</v>
      </c>
      <c r="F11" s="23" t="s">
        <v>2274</v>
      </c>
      <c r="G11" s="23"/>
      <c r="H11" s="23" t="s">
        <v>605</v>
      </c>
      <c r="I11" s="23"/>
      <c r="J11" s="63" t="s">
        <v>1603</v>
      </c>
      <c r="K11" s="63" t="s">
        <v>1603</v>
      </c>
      <c r="L11" s="62" t="e">
        <f t="shared" si="4"/>
        <v>#VALUE!</v>
      </c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</row>
    <row r="12" spans="1:40" s="39" customFormat="1" ht="15.75" thickBot="1" x14ac:dyDescent="0.3">
      <c r="A12" s="39" t="s">
        <v>25</v>
      </c>
      <c r="B12" t="s">
        <v>897</v>
      </c>
      <c r="C12" t="s">
        <v>1039</v>
      </c>
      <c r="D12" t="s">
        <v>39</v>
      </c>
      <c r="E12" s="23" t="s">
        <v>15</v>
      </c>
      <c r="F12" s="23" t="s">
        <v>2274</v>
      </c>
      <c r="G12" s="23"/>
      <c r="H12" s="23" t="s">
        <v>606</v>
      </c>
      <c r="I12" s="23"/>
      <c r="J12" s="63" t="s">
        <v>1604</v>
      </c>
      <c r="K12" s="63" t="s">
        <v>1604</v>
      </c>
      <c r="L12" s="62" t="e">
        <f t="shared" si="4"/>
        <v>#VALUE!</v>
      </c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</row>
    <row r="13" spans="1:40" s="39" customFormat="1" ht="15.75" thickBot="1" x14ac:dyDescent="0.3">
      <c r="A13" s="39" t="s">
        <v>25</v>
      </c>
      <c r="B13" s="39" t="s">
        <v>898</v>
      </c>
      <c r="C13" s="39" t="s">
        <v>1039</v>
      </c>
      <c r="D13" s="39" t="s">
        <v>899</v>
      </c>
      <c r="E13" s="67" t="s">
        <v>18</v>
      </c>
      <c r="F13" s="67" t="s">
        <v>1267</v>
      </c>
      <c r="G13" s="67"/>
      <c r="H13" s="67" t="s">
        <v>1183</v>
      </c>
      <c r="I13" s="67"/>
      <c r="J13" s="63" t="s">
        <v>1605</v>
      </c>
      <c r="K13" s="63" t="s">
        <v>1605</v>
      </c>
      <c r="L13" s="62" t="e">
        <f t="shared" si="4"/>
        <v>#VALUE!</v>
      </c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</row>
    <row r="14" spans="1:40" ht="15.75" thickBot="1" x14ac:dyDescent="0.3">
      <c r="A14" t="s">
        <v>25</v>
      </c>
      <c r="B14" t="s">
        <v>1464</v>
      </c>
      <c r="C14" t="s">
        <v>1039</v>
      </c>
      <c r="D14" s="66" t="s">
        <v>1465</v>
      </c>
      <c r="E14" s="23" t="s">
        <v>71</v>
      </c>
      <c r="F14" s="67" t="s">
        <v>1267</v>
      </c>
      <c r="G14" s="23"/>
      <c r="H14" s="23" t="s">
        <v>1466</v>
      </c>
      <c r="I14" s="23"/>
      <c r="J14" s="63" t="s">
        <v>2076</v>
      </c>
      <c r="K14" s="63" t="s">
        <v>2076</v>
      </c>
      <c r="L14" s="24" t="e">
        <f t="shared" si="4"/>
        <v>#VALUE!</v>
      </c>
      <c r="M14" s="36"/>
      <c r="N14" s="36"/>
      <c r="O14" s="36"/>
      <c r="P14" s="36" t="s">
        <v>2188</v>
      </c>
      <c r="Q14" s="36" t="s">
        <v>2188</v>
      </c>
      <c r="R14" s="36" t="s">
        <v>2188</v>
      </c>
      <c r="S14" s="36"/>
      <c r="T14" s="36"/>
      <c r="U14" s="36" t="s">
        <v>2188</v>
      </c>
      <c r="V14" s="36" t="s">
        <v>2188</v>
      </c>
      <c r="W14" s="36" t="s">
        <v>2188</v>
      </c>
      <c r="X14" s="36" t="s">
        <v>2188</v>
      </c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</row>
    <row r="15" spans="1:40" ht="15.75" thickBot="1" x14ac:dyDescent="0.3">
      <c r="A15" t="s">
        <v>25</v>
      </c>
      <c r="B15" t="s">
        <v>28</v>
      </c>
      <c r="C15" t="s">
        <v>1039</v>
      </c>
      <c r="D15" t="s">
        <v>29</v>
      </c>
      <c r="E15" s="23" t="s">
        <v>18</v>
      </c>
      <c r="F15" s="23" t="s">
        <v>27</v>
      </c>
      <c r="G15" s="23"/>
      <c r="H15" s="23" t="s">
        <v>597</v>
      </c>
      <c r="I15" s="23"/>
      <c r="J15" s="63" t="s">
        <v>1596</v>
      </c>
      <c r="K15" s="63" t="s">
        <v>1596</v>
      </c>
      <c r="L15" s="24" t="e">
        <f t="shared" si="4"/>
        <v>#VALUE!</v>
      </c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</row>
    <row r="16" spans="1:40" ht="15.75" thickBot="1" x14ac:dyDescent="0.3">
      <c r="A16" t="s">
        <v>25</v>
      </c>
      <c r="B16" t="s">
        <v>30</v>
      </c>
      <c r="C16" t="s">
        <v>1039</v>
      </c>
      <c r="D16" t="s">
        <v>31</v>
      </c>
      <c r="E16" s="23" t="s">
        <v>18</v>
      </c>
      <c r="F16" s="23" t="s">
        <v>1033</v>
      </c>
      <c r="G16" s="23" t="s">
        <v>1218</v>
      </c>
      <c r="H16" s="23" t="s">
        <v>598</v>
      </c>
      <c r="I16" s="23"/>
      <c r="J16" s="63" t="s">
        <v>1597</v>
      </c>
      <c r="K16" s="63" t="s">
        <v>1597</v>
      </c>
      <c r="L16" s="24" t="e">
        <f t="shared" si="4"/>
        <v>#VALUE!</v>
      </c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</row>
    <row r="17" spans="1:40" s="39" customFormat="1" ht="15.75" thickBot="1" x14ac:dyDescent="0.3">
      <c r="A17" s="39" t="s">
        <v>25</v>
      </c>
      <c r="B17" s="39" t="s">
        <v>34</v>
      </c>
      <c r="C17" s="39" t="s">
        <v>1039</v>
      </c>
      <c r="D17" s="39" t="s">
        <v>35</v>
      </c>
      <c r="E17" s="67" t="s">
        <v>18</v>
      </c>
      <c r="F17" s="67" t="s">
        <v>1267</v>
      </c>
      <c r="G17" s="67" t="s">
        <v>1217</v>
      </c>
      <c r="H17" s="67" t="s">
        <v>601</v>
      </c>
      <c r="I17" s="67"/>
      <c r="J17" s="63" t="s">
        <v>1600</v>
      </c>
      <c r="K17" s="63" t="s">
        <v>1600</v>
      </c>
      <c r="L17" s="62" t="e">
        <f t="shared" si="4"/>
        <v>#VALUE!</v>
      </c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</row>
    <row r="18" spans="1:40" ht="15.75" thickBot="1" x14ac:dyDescent="0.3">
      <c r="A18" t="s">
        <v>25</v>
      </c>
      <c r="B18" t="s">
        <v>36</v>
      </c>
      <c r="C18" t="s">
        <v>1039</v>
      </c>
      <c r="D18" t="s">
        <v>37</v>
      </c>
      <c r="E18" s="23" t="s">
        <v>15</v>
      </c>
      <c r="F18" s="23" t="s">
        <v>1033</v>
      </c>
      <c r="G18" s="23" t="s">
        <v>1218</v>
      </c>
      <c r="H18" s="23" t="s">
        <v>604</v>
      </c>
      <c r="I18" s="23"/>
      <c r="J18" s="63" t="s">
        <v>1602</v>
      </c>
      <c r="K18" s="63" t="s">
        <v>1602</v>
      </c>
      <c r="L18" s="24" t="e">
        <f t="shared" si="4"/>
        <v>#VALUE!</v>
      </c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7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</row>
    <row r="19" spans="1:40" ht="15.75" thickBot="1" x14ac:dyDescent="0.3">
      <c r="A19" t="s">
        <v>40</v>
      </c>
      <c r="B19" t="s">
        <v>900</v>
      </c>
      <c r="C19" t="s">
        <v>1039</v>
      </c>
      <c r="D19" t="s">
        <v>41</v>
      </c>
      <c r="E19" s="23" t="s">
        <v>18</v>
      </c>
      <c r="F19" s="23" t="s">
        <v>1267</v>
      </c>
      <c r="G19" s="23"/>
      <c r="H19" s="23" t="s">
        <v>607</v>
      </c>
      <c r="I19" s="23"/>
      <c r="J19" s="63" t="s">
        <v>1606</v>
      </c>
      <c r="K19" s="63" t="s">
        <v>1606</v>
      </c>
      <c r="L19" s="24" t="e">
        <f t="shared" si="4"/>
        <v>#VALUE!</v>
      </c>
      <c r="M19" s="36" t="s">
        <v>2188</v>
      </c>
      <c r="N19" s="36" t="s">
        <v>2188</v>
      </c>
      <c r="O19" s="36" t="s">
        <v>2188</v>
      </c>
      <c r="P19" s="36" t="s">
        <v>2188</v>
      </c>
      <c r="Q19" s="36" t="s">
        <v>2188</v>
      </c>
      <c r="R19" s="36" t="s">
        <v>2188</v>
      </c>
      <c r="S19" s="36"/>
      <c r="T19" s="36"/>
      <c r="U19" s="36" t="s">
        <v>2188</v>
      </c>
      <c r="V19" s="36" t="s">
        <v>2188</v>
      </c>
      <c r="W19" s="36" t="s">
        <v>2188</v>
      </c>
      <c r="X19" s="36" t="s">
        <v>2188</v>
      </c>
      <c r="Y19" s="36"/>
      <c r="Z19" s="37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</row>
    <row r="20" spans="1:40" s="39" customFormat="1" ht="15.75" thickBot="1" x14ac:dyDescent="0.3">
      <c r="A20" s="39" t="s">
        <v>40</v>
      </c>
      <c r="B20" s="39" t="s">
        <v>1477</v>
      </c>
      <c r="C20" s="39" t="s">
        <v>1039</v>
      </c>
      <c r="D20" s="39" t="s">
        <v>1478</v>
      </c>
      <c r="E20" s="67" t="s">
        <v>71</v>
      </c>
      <c r="F20" s="67" t="s">
        <v>1267</v>
      </c>
      <c r="G20" s="67"/>
      <c r="H20" s="67" t="s">
        <v>1479</v>
      </c>
      <c r="I20" s="67"/>
      <c r="J20" s="63" t="s">
        <v>1607</v>
      </c>
      <c r="K20" s="63" t="s">
        <v>1607</v>
      </c>
      <c r="L20" s="24" t="e">
        <f t="shared" si="4"/>
        <v>#VALUE!</v>
      </c>
      <c r="M20" s="36" t="s">
        <v>2188</v>
      </c>
      <c r="N20" s="36" t="s">
        <v>2188</v>
      </c>
      <c r="O20" s="36" t="s">
        <v>2188</v>
      </c>
      <c r="P20" s="36" t="s">
        <v>2188</v>
      </c>
      <c r="Q20" s="36" t="s">
        <v>2188</v>
      </c>
      <c r="R20" s="36" t="s">
        <v>2188</v>
      </c>
      <c r="S20" s="36"/>
      <c r="T20" s="36"/>
      <c r="U20" s="36" t="s">
        <v>2188</v>
      </c>
      <c r="V20" s="36" t="s">
        <v>2188</v>
      </c>
      <c r="W20" s="36" t="s">
        <v>2188</v>
      </c>
      <c r="X20" s="36" t="s">
        <v>2188</v>
      </c>
      <c r="Y20" s="36"/>
      <c r="Z20" s="37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</row>
    <row r="21" spans="1:40" s="39" customFormat="1" ht="15.75" thickBot="1" x14ac:dyDescent="0.3">
      <c r="A21" s="39" t="s">
        <v>40</v>
      </c>
      <c r="B21" s="39" t="s">
        <v>1505</v>
      </c>
      <c r="C21" s="39" t="s">
        <v>1039</v>
      </c>
      <c r="D21" s="39" t="s">
        <v>1506</v>
      </c>
      <c r="E21" s="67" t="s">
        <v>71</v>
      </c>
      <c r="F21" s="67" t="s">
        <v>1267</v>
      </c>
      <c r="G21" s="67"/>
      <c r="H21" s="67" t="s">
        <v>1507</v>
      </c>
      <c r="I21" s="67"/>
      <c r="J21" s="63" t="s">
        <v>1608</v>
      </c>
      <c r="K21" s="63" t="s">
        <v>1608</v>
      </c>
      <c r="L21" s="24" t="e">
        <f t="shared" si="4"/>
        <v>#VALUE!</v>
      </c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7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</row>
    <row r="22" spans="1:40" ht="15.75" thickBot="1" x14ac:dyDescent="0.3">
      <c r="A22" t="s">
        <v>42</v>
      </c>
      <c r="B22" t="s">
        <v>901</v>
      </c>
      <c r="C22" t="s">
        <v>1039</v>
      </c>
      <c r="D22" t="s">
        <v>43</v>
      </c>
      <c r="E22" s="23" t="s">
        <v>15</v>
      </c>
      <c r="F22" s="23" t="s">
        <v>27</v>
      </c>
      <c r="G22" s="23"/>
      <c r="H22" s="23" t="s">
        <v>608</v>
      </c>
      <c r="I22" s="23" t="s">
        <v>2275</v>
      </c>
      <c r="J22" s="63" t="s">
        <v>2276</v>
      </c>
      <c r="K22" s="63" t="s">
        <v>2276</v>
      </c>
      <c r="L22" s="24" t="e">
        <f t="shared" si="4"/>
        <v>#VALUE!</v>
      </c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</row>
    <row r="23" spans="1:40" ht="15.75" thickBot="1" x14ac:dyDescent="0.3">
      <c r="A23" t="s">
        <v>42</v>
      </c>
      <c r="B23" t="s">
        <v>1235</v>
      </c>
      <c r="C23" t="s">
        <v>1039</v>
      </c>
      <c r="D23" t="s">
        <v>1236</v>
      </c>
      <c r="E23" s="23" t="s">
        <v>15</v>
      </c>
      <c r="F23" s="23" t="s">
        <v>27</v>
      </c>
      <c r="G23" s="23"/>
      <c r="H23" s="23" t="s">
        <v>1312</v>
      </c>
      <c r="I23" s="23"/>
      <c r="J23" s="63" t="s">
        <v>1609</v>
      </c>
      <c r="K23" s="63" t="s">
        <v>1609</v>
      </c>
      <c r="L23" s="24" t="e">
        <f t="shared" si="4"/>
        <v>#VALUE!</v>
      </c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</row>
    <row r="24" spans="1:40" ht="15.75" thickBot="1" x14ac:dyDescent="0.3">
      <c r="A24" t="s">
        <v>1164</v>
      </c>
      <c r="B24" s="67" t="s">
        <v>2225</v>
      </c>
      <c r="C24" s="39" t="s">
        <v>1040</v>
      </c>
      <c r="D24" s="39" t="s">
        <v>1303</v>
      </c>
      <c r="E24" s="67" t="s">
        <v>18</v>
      </c>
      <c r="F24" s="67" t="s">
        <v>1267</v>
      </c>
      <c r="G24" s="67"/>
      <c r="H24" s="67" t="s">
        <v>1310</v>
      </c>
      <c r="I24" s="67"/>
      <c r="J24" s="63" t="s">
        <v>1616</v>
      </c>
      <c r="K24" s="63" t="s">
        <v>1616</v>
      </c>
      <c r="L24" s="24" t="e">
        <f t="shared" si="4"/>
        <v>#VALUE!</v>
      </c>
      <c r="M24" s="36"/>
      <c r="N24" s="36"/>
      <c r="O24" s="36"/>
      <c r="P24" s="36"/>
      <c r="Q24" s="36" t="s">
        <v>2188</v>
      </c>
      <c r="R24" s="36" t="s">
        <v>2188</v>
      </c>
      <c r="S24" s="36"/>
      <c r="T24" s="36"/>
      <c r="U24" s="36" t="s">
        <v>2188</v>
      </c>
      <c r="V24" s="36" t="s">
        <v>2188</v>
      </c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</row>
    <row r="25" spans="1:40" ht="15.75" thickBot="1" x14ac:dyDescent="0.3">
      <c r="A25" t="s">
        <v>1164</v>
      </c>
      <c r="B25" s="67" t="s">
        <v>2226</v>
      </c>
      <c r="C25" s="67" t="s">
        <v>1040</v>
      </c>
      <c r="D25" s="39" t="s">
        <v>1530</v>
      </c>
      <c r="E25" s="67" t="s">
        <v>18</v>
      </c>
      <c r="F25" s="67" t="s">
        <v>1267</v>
      </c>
      <c r="G25" s="67"/>
      <c r="H25" s="67" t="s">
        <v>1531</v>
      </c>
      <c r="I25" s="67"/>
      <c r="J25" s="63" t="s">
        <v>2077</v>
      </c>
      <c r="K25" s="63" t="s">
        <v>2077</v>
      </c>
      <c r="L25" s="24" t="e">
        <f t="shared" si="4"/>
        <v>#VALUE!</v>
      </c>
      <c r="M25" s="36"/>
      <c r="N25" s="36"/>
      <c r="O25" s="36"/>
      <c r="P25" s="36"/>
      <c r="Q25" s="36" t="s">
        <v>2188</v>
      </c>
      <c r="R25" s="36" t="s">
        <v>2188</v>
      </c>
      <c r="S25" s="36"/>
      <c r="T25" s="36"/>
      <c r="U25" s="36" t="s">
        <v>2188</v>
      </c>
      <c r="V25" s="36" t="s">
        <v>2188</v>
      </c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</row>
    <row r="26" spans="1:40" ht="15.75" thickBot="1" x14ac:dyDescent="0.3">
      <c r="A26" t="s">
        <v>1164</v>
      </c>
      <c r="B26" s="67" t="s">
        <v>2227</v>
      </c>
      <c r="C26" s="67" t="s">
        <v>1040</v>
      </c>
      <c r="D26" s="39" t="s">
        <v>1534</v>
      </c>
      <c r="E26" s="67" t="s">
        <v>71</v>
      </c>
      <c r="F26" s="67" t="s">
        <v>1267</v>
      </c>
      <c r="G26" s="67"/>
      <c r="H26" s="67" t="s">
        <v>1532</v>
      </c>
      <c r="I26" s="67"/>
      <c r="J26" s="63" t="s">
        <v>2078</v>
      </c>
      <c r="K26" s="63" t="s">
        <v>2078</v>
      </c>
      <c r="L26" s="24" t="e">
        <f t="shared" si="4"/>
        <v>#VALUE!</v>
      </c>
      <c r="M26" s="36"/>
      <c r="N26" s="36"/>
      <c r="O26" s="36"/>
      <c r="P26" s="36"/>
      <c r="Q26" s="36" t="s">
        <v>2188</v>
      </c>
      <c r="R26" s="36" t="s">
        <v>2188</v>
      </c>
      <c r="S26" s="36"/>
      <c r="T26" s="36"/>
      <c r="U26" s="36" t="s">
        <v>2188</v>
      </c>
      <c r="V26" s="36" t="s">
        <v>2188</v>
      </c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</row>
    <row r="27" spans="1:40" ht="15.75" thickBot="1" x14ac:dyDescent="0.3">
      <c r="A27" t="s">
        <v>1164</v>
      </c>
      <c r="B27" s="67" t="s">
        <v>2228</v>
      </c>
      <c r="C27" s="67" t="s">
        <v>1040</v>
      </c>
      <c r="D27" s="39" t="s">
        <v>1534</v>
      </c>
      <c r="E27" s="67" t="s">
        <v>71</v>
      </c>
      <c r="F27" s="67" t="s">
        <v>1267</v>
      </c>
      <c r="G27" s="67"/>
      <c r="H27" s="67" t="s">
        <v>1533</v>
      </c>
      <c r="I27" s="67"/>
      <c r="J27" s="63" t="s">
        <v>2079</v>
      </c>
      <c r="K27" s="63" t="s">
        <v>2079</v>
      </c>
      <c r="L27" s="24" t="e">
        <f t="shared" si="4"/>
        <v>#VALUE!</v>
      </c>
      <c r="M27" s="36"/>
      <c r="N27" s="36"/>
      <c r="O27" s="36"/>
      <c r="P27" s="36"/>
      <c r="Q27" s="36" t="s">
        <v>2188</v>
      </c>
      <c r="R27" s="36" t="s">
        <v>2188</v>
      </c>
      <c r="S27" s="36"/>
      <c r="T27" s="36"/>
      <c r="U27" s="36" t="s">
        <v>2188</v>
      </c>
      <c r="V27" s="36" t="s">
        <v>2188</v>
      </c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</row>
    <row r="28" spans="1:40" ht="15.75" thickBot="1" x14ac:dyDescent="0.3">
      <c r="A28" t="s">
        <v>1164</v>
      </c>
      <c r="B28" s="67" t="s">
        <v>2229</v>
      </c>
      <c r="C28" s="67" t="s">
        <v>1040</v>
      </c>
      <c r="D28" s="39" t="s">
        <v>2207</v>
      </c>
      <c r="E28" s="67" t="s">
        <v>18</v>
      </c>
      <c r="F28" s="67" t="s">
        <v>1267</v>
      </c>
      <c r="G28" s="67"/>
      <c r="H28" s="67" t="s">
        <v>2208</v>
      </c>
      <c r="I28" s="67"/>
      <c r="J28" s="63" t="s">
        <v>2209</v>
      </c>
      <c r="K28" s="63" t="s">
        <v>2209</v>
      </c>
      <c r="L28" s="24" t="e">
        <f t="shared" si="4"/>
        <v>#VALUE!</v>
      </c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</row>
    <row r="29" spans="1:40" ht="15.75" thickBot="1" x14ac:dyDescent="0.3">
      <c r="A29" t="s">
        <v>1164</v>
      </c>
      <c r="B29" s="67" t="s">
        <v>2277</v>
      </c>
      <c r="C29" s="67" t="s">
        <v>1040</v>
      </c>
      <c r="D29" s="39" t="s">
        <v>2278</v>
      </c>
      <c r="E29" s="67"/>
      <c r="F29" s="67" t="s">
        <v>27</v>
      </c>
      <c r="G29" s="67"/>
      <c r="H29" s="67" t="s">
        <v>2279</v>
      </c>
      <c r="I29" s="67"/>
      <c r="J29" s="63" t="s">
        <v>2280</v>
      </c>
      <c r="K29" s="63" t="s">
        <v>2280</v>
      </c>
      <c r="L29" s="24" t="e">
        <f t="shared" si="4"/>
        <v>#VALUE!</v>
      </c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</row>
    <row r="30" spans="1:40" s="39" customFormat="1" ht="15.75" thickBot="1" x14ac:dyDescent="0.3">
      <c r="A30" s="39" t="s">
        <v>1164</v>
      </c>
      <c r="B30" s="23" t="s">
        <v>1148</v>
      </c>
      <c r="C30" s="23" t="s">
        <v>1040</v>
      </c>
      <c r="D30" t="s">
        <v>1132</v>
      </c>
      <c r="E30" s="23" t="s">
        <v>71</v>
      </c>
      <c r="F30" s="23" t="s">
        <v>1033</v>
      </c>
      <c r="G30" s="23"/>
      <c r="H30" s="23" t="s">
        <v>1135</v>
      </c>
      <c r="I30" s="23"/>
      <c r="J30" s="63" t="s">
        <v>1610</v>
      </c>
      <c r="K30" s="63" t="s">
        <v>1610</v>
      </c>
      <c r="L30" s="62" t="e">
        <f t="shared" si="4"/>
        <v>#VALUE!</v>
      </c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</row>
    <row r="31" spans="1:40" s="39" customFormat="1" ht="15.75" thickBot="1" x14ac:dyDescent="0.3">
      <c r="A31" s="39" t="s">
        <v>1164</v>
      </c>
      <c r="B31" s="23" t="s">
        <v>1149</v>
      </c>
      <c r="C31" s="23" t="s">
        <v>1040</v>
      </c>
      <c r="D31" t="s">
        <v>1132</v>
      </c>
      <c r="E31" s="23" t="s">
        <v>71</v>
      </c>
      <c r="F31" s="23" t="s">
        <v>1033</v>
      </c>
      <c r="G31" s="23"/>
      <c r="H31" s="23" t="s">
        <v>1136</v>
      </c>
      <c r="I31" s="23"/>
      <c r="J31" s="63" t="s">
        <v>1611</v>
      </c>
      <c r="K31" s="63" t="s">
        <v>1611</v>
      </c>
      <c r="L31" s="62" t="e">
        <f t="shared" si="4"/>
        <v>#VALUE!</v>
      </c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</row>
    <row r="32" spans="1:40" s="39" customFormat="1" ht="15.75" thickBot="1" x14ac:dyDescent="0.3">
      <c r="A32" s="39" t="s">
        <v>1164</v>
      </c>
      <c r="B32" s="23" t="s">
        <v>1147</v>
      </c>
      <c r="C32" s="23" t="s">
        <v>1040</v>
      </c>
      <c r="D32" t="s">
        <v>1131</v>
      </c>
      <c r="E32" s="23" t="s">
        <v>71</v>
      </c>
      <c r="F32" s="23" t="s">
        <v>1033</v>
      </c>
      <c r="G32" s="23"/>
      <c r="H32" s="23" t="s">
        <v>1134</v>
      </c>
      <c r="I32" s="23"/>
      <c r="J32" s="63" t="s">
        <v>1612</v>
      </c>
      <c r="K32" s="63" t="s">
        <v>1612</v>
      </c>
      <c r="L32" s="62" t="e">
        <f t="shared" si="4"/>
        <v>#VALUE!</v>
      </c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</row>
    <row r="33" spans="1:40" s="39" customFormat="1" ht="15.75" thickBot="1" x14ac:dyDescent="0.3">
      <c r="A33" s="39" t="s">
        <v>1164</v>
      </c>
      <c r="B33" s="23" t="s">
        <v>1146</v>
      </c>
      <c r="C33" s="23" t="s">
        <v>1040</v>
      </c>
      <c r="D33" t="s">
        <v>1131</v>
      </c>
      <c r="E33" s="23" t="s">
        <v>71</v>
      </c>
      <c r="F33" s="23" t="s">
        <v>1033</v>
      </c>
      <c r="G33" s="23"/>
      <c r="H33" s="23" t="s">
        <v>1141</v>
      </c>
      <c r="I33" s="23"/>
      <c r="J33" s="63" t="s">
        <v>1613</v>
      </c>
      <c r="K33" s="63" t="s">
        <v>1613</v>
      </c>
      <c r="L33" s="62" t="e">
        <f t="shared" si="4"/>
        <v>#VALUE!</v>
      </c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</row>
    <row r="34" spans="1:40" s="39" customFormat="1" ht="15.75" thickBot="1" x14ac:dyDescent="0.3">
      <c r="A34" s="39" t="s">
        <v>1164</v>
      </c>
      <c r="B34" s="23" t="s">
        <v>1150</v>
      </c>
      <c r="C34" s="23" t="s">
        <v>1040</v>
      </c>
      <c r="D34" t="s">
        <v>1133</v>
      </c>
      <c r="E34" s="23" t="s">
        <v>71</v>
      </c>
      <c r="F34" s="23" t="s">
        <v>1033</v>
      </c>
      <c r="G34" s="23"/>
      <c r="H34" s="23" t="s">
        <v>1137</v>
      </c>
      <c r="I34" s="23"/>
      <c r="J34" s="63" t="s">
        <v>1614</v>
      </c>
      <c r="K34" s="63" t="s">
        <v>1614</v>
      </c>
      <c r="L34" s="62" t="e">
        <f t="shared" si="4"/>
        <v>#VALUE!</v>
      </c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 ht="15.75" thickBot="1" x14ac:dyDescent="0.3">
      <c r="A35" s="35" t="s">
        <v>2075</v>
      </c>
      <c r="B35" s="23" t="s">
        <v>1151</v>
      </c>
      <c r="C35" s="23" t="s">
        <v>1040</v>
      </c>
      <c r="D35" t="s">
        <v>1133</v>
      </c>
      <c r="E35" s="23" t="s">
        <v>71</v>
      </c>
      <c r="F35" s="23" t="s">
        <v>1033</v>
      </c>
      <c r="G35" s="23"/>
      <c r="H35" s="23" t="s">
        <v>1138</v>
      </c>
      <c r="I35" s="23"/>
      <c r="J35" s="63" t="s">
        <v>1615</v>
      </c>
      <c r="K35" s="63" t="s">
        <v>1615</v>
      </c>
      <c r="L35" s="74" t="e">
        <f t="shared" si="4"/>
        <v>#VALUE!</v>
      </c>
      <c r="M35" s="64" t="s">
        <v>2188</v>
      </c>
      <c r="N35" s="64" t="s">
        <v>2188</v>
      </c>
      <c r="O35" s="64" t="s">
        <v>2188</v>
      </c>
      <c r="P35" s="64" t="s">
        <v>2188</v>
      </c>
      <c r="Q35" s="64" t="s">
        <v>2188</v>
      </c>
      <c r="R35" s="64" t="s">
        <v>2188</v>
      </c>
      <c r="S35" s="64"/>
      <c r="T35" s="64"/>
      <c r="U35" s="64" t="s">
        <v>2188</v>
      </c>
      <c r="V35" s="64" t="s">
        <v>2188</v>
      </c>
      <c r="W35" s="64" t="s">
        <v>2188</v>
      </c>
      <c r="X35" s="64" t="s">
        <v>2188</v>
      </c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</row>
    <row r="36" spans="1:40" s="39" customFormat="1" ht="15.75" thickBot="1" x14ac:dyDescent="0.3">
      <c r="A36" s="39" t="s">
        <v>2075</v>
      </c>
      <c r="B36" s="23" t="s">
        <v>1406</v>
      </c>
      <c r="C36" t="s">
        <v>1040</v>
      </c>
      <c r="D36" t="s">
        <v>1405</v>
      </c>
      <c r="E36" s="23" t="s">
        <v>71</v>
      </c>
      <c r="F36" s="23" t="s">
        <v>27</v>
      </c>
      <c r="G36" s="23"/>
      <c r="H36" s="67" t="s">
        <v>1409</v>
      </c>
      <c r="I36" s="67"/>
      <c r="J36" s="63" t="s">
        <v>1618</v>
      </c>
      <c r="K36" s="63" t="s">
        <v>1618</v>
      </c>
      <c r="L36" s="62" t="e">
        <f t="shared" si="4"/>
        <v>#VALUE!</v>
      </c>
      <c r="M36" s="36"/>
      <c r="N36" s="36"/>
      <c r="O36" s="36" t="s">
        <v>2188</v>
      </c>
      <c r="P36" s="36" t="s">
        <v>2188</v>
      </c>
      <c r="Q36" s="36" t="s">
        <v>2188</v>
      </c>
      <c r="R36" s="36" t="s">
        <v>2188</v>
      </c>
      <c r="S36" s="36"/>
      <c r="T36" s="36"/>
      <c r="U36" s="36" t="s">
        <v>2188</v>
      </c>
      <c r="V36" s="36" t="s">
        <v>2188</v>
      </c>
      <c r="W36" s="36" t="s">
        <v>2188</v>
      </c>
      <c r="X36" s="36" t="s">
        <v>2188</v>
      </c>
      <c r="Y36" s="36"/>
      <c r="Z36" s="36"/>
      <c r="AA36" s="36"/>
      <c r="AB36" s="36"/>
      <c r="AC36" s="36"/>
      <c r="AD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9" customFormat="1" ht="15.75" thickBot="1" x14ac:dyDescent="0.3">
      <c r="A37" s="39" t="s">
        <v>2075</v>
      </c>
      <c r="B37" s="23" t="s">
        <v>1408</v>
      </c>
      <c r="C37" t="s">
        <v>1040</v>
      </c>
      <c r="D37" t="s">
        <v>1405</v>
      </c>
      <c r="E37" s="23" t="s">
        <v>71</v>
      </c>
      <c r="F37" s="23" t="s">
        <v>27</v>
      </c>
      <c r="G37" s="23"/>
      <c r="H37" s="67" t="s">
        <v>1410</v>
      </c>
      <c r="I37" s="67"/>
      <c r="J37" s="63" t="s">
        <v>1619</v>
      </c>
      <c r="K37" s="63" t="s">
        <v>1619</v>
      </c>
      <c r="L37" s="62" t="e">
        <f t="shared" si="4"/>
        <v>#VALUE!</v>
      </c>
      <c r="M37" s="36" t="s">
        <v>2188</v>
      </c>
      <c r="N37" s="36" t="s">
        <v>2188</v>
      </c>
      <c r="O37" s="36" t="s">
        <v>2188</v>
      </c>
      <c r="P37" s="36" t="s">
        <v>2188</v>
      </c>
      <c r="Q37" s="36" t="s">
        <v>2188</v>
      </c>
      <c r="R37" s="36" t="s">
        <v>2188</v>
      </c>
      <c r="S37" s="36"/>
      <c r="T37" s="36"/>
      <c r="U37" s="36" t="s">
        <v>2188</v>
      </c>
      <c r="V37" s="36" t="s">
        <v>2188</v>
      </c>
      <c r="W37" s="36" t="s">
        <v>2188</v>
      </c>
      <c r="X37" s="36" t="s">
        <v>2188</v>
      </c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9" customFormat="1" ht="15.75" thickBot="1" x14ac:dyDescent="0.3">
      <c r="A38" s="39" t="s">
        <v>1164</v>
      </c>
      <c r="B38" s="23" t="s">
        <v>1568</v>
      </c>
      <c r="C38" t="s">
        <v>1040</v>
      </c>
      <c r="D38" t="s">
        <v>1570</v>
      </c>
      <c r="E38" s="23" t="s">
        <v>71</v>
      </c>
      <c r="F38" s="23" t="s">
        <v>1267</v>
      </c>
      <c r="G38" s="23"/>
      <c r="H38" s="67" t="s">
        <v>1571</v>
      </c>
      <c r="I38" s="67"/>
      <c r="J38" s="63" t="s">
        <v>2082</v>
      </c>
      <c r="K38" s="63" t="s">
        <v>2082</v>
      </c>
      <c r="L38" s="62" t="e">
        <f t="shared" si="4"/>
        <v>#VALUE!</v>
      </c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 ht="15.75" thickBot="1" x14ac:dyDescent="0.3">
      <c r="A39" t="s">
        <v>1407</v>
      </c>
      <c r="B39" s="23" t="s">
        <v>1569</v>
      </c>
      <c r="C39" t="s">
        <v>1040</v>
      </c>
      <c r="D39" t="s">
        <v>1570</v>
      </c>
      <c r="E39" s="23" t="s">
        <v>71</v>
      </c>
      <c r="F39" s="23" t="s">
        <v>1267</v>
      </c>
      <c r="G39" s="23"/>
      <c r="H39" s="67" t="s">
        <v>1572</v>
      </c>
      <c r="I39" s="67"/>
      <c r="J39" s="63" t="s">
        <v>2106</v>
      </c>
      <c r="K39" s="63" t="s">
        <v>2106</v>
      </c>
      <c r="L39" s="24" t="e">
        <f t="shared" si="4"/>
        <v>#VALUE!</v>
      </c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</row>
    <row r="40" spans="1:40" ht="15.75" thickBot="1" x14ac:dyDescent="0.3">
      <c r="A40" t="s">
        <v>1407</v>
      </c>
      <c r="B40" s="23" t="s">
        <v>1576</v>
      </c>
      <c r="C40" t="s">
        <v>1040</v>
      </c>
      <c r="D40" t="s">
        <v>1570</v>
      </c>
      <c r="E40" s="23" t="s">
        <v>18</v>
      </c>
      <c r="F40" s="23" t="s">
        <v>1267</v>
      </c>
      <c r="G40" s="23"/>
      <c r="H40" s="67" t="s">
        <v>1574</v>
      </c>
      <c r="I40" s="67"/>
      <c r="J40" s="63" t="s">
        <v>2107</v>
      </c>
      <c r="K40" s="63" t="s">
        <v>2107</v>
      </c>
      <c r="L40" s="24" t="e">
        <f t="shared" si="4"/>
        <v>#VALUE!</v>
      </c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</row>
    <row r="41" spans="1:40" ht="15.75" thickBot="1" x14ac:dyDescent="0.3">
      <c r="A41" t="s">
        <v>1407</v>
      </c>
      <c r="B41" s="23" t="s">
        <v>1577</v>
      </c>
      <c r="C41" t="s">
        <v>1040</v>
      </c>
      <c r="D41" t="s">
        <v>1578</v>
      </c>
      <c r="E41" s="23" t="s">
        <v>18</v>
      </c>
      <c r="F41" s="23" t="s">
        <v>27</v>
      </c>
      <c r="G41" s="23"/>
      <c r="H41" s="67" t="s">
        <v>1579</v>
      </c>
      <c r="I41" s="67"/>
      <c r="J41" s="63" t="s">
        <v>2108</v>
      </c>
      <c r="K41" s="63" t="s">
        <v>2108</v>
      </c>
      <c r="L41" s="24" t="e">
        <f t="shared" si="4"/>
        <v>#VALUE!</v>
      </c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</row>
    <row r="42" spans="1:40" ht="15.75" thickBot="1" x14ac:dyDescent="0.3">
      <c r="A42" t="s">
        <v>1407</v>
      </c>
      <c r="B42" s="23" t="s">
        <v>2151</v>
      </c>
      <c r="C42" t="s">
        <v>1040</v>
      </c>
      <c r="D42" t="s">
        <v>2155</v>
      </c>
      <c r="E42" s="23" t="s">
        <v>71</v>
      </c>
      <c r="F42" s="23" t="s">
        <v>27</v>
      </c>
      <c r="G42" s="23"/>
      <c r="H42" s="67" t="s">
        <v>2231</v>
      </c>
      <c r="I42" s="67"/>
      <c r="J42" s="63" t="s">
        <v>2152</v>
      </c>
      <c r="K42" s="63" t="s">
        <v>2152</v>
      </c>
      <c r="L42" s="24" t="e">
        <f t="shared" si="4"/>
        <v>#VALUE!</v>
      </c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</row>
    <row r="43" spans="1:40" ht="15.75" thickBot="1" x14ac:dyDescent="0.3">
      <c r="A43" t="s">
        <v>1407</v>
      </c>
      <c r="B43" s="23" t="s">
        <v>2153</v>
      </c>
      <c r="C43" t="s">
        <v>1040</v>
      </c>
      <c r="D43" t="s">
        <v>2154</v>
      </c>
      <c r="E43" s="23" t="s">
        <v>71</v>
      </c>
      <c r="F43" s="23" t="s">
        <v>27</v>
      </c>
      <c r="G43" s="23"/>
      <c r="H43" s="67" t="s">
        <v>2232</v>
      </c>
      <c r="I43" s="67"/>
      <c r="J43" s="63" t="s">
        <v>2156</v>
      </c>
      <c r="K43" s="63" t="s">
        <v>2156</v>
      </c>
      <c r="L43" s="24" t="e">
        <f t="shared" si="4"/>
        <v>#VALUE!</v>
      </c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</row>
    <row r="44" spans="1:40" ht="15.75" thickBot="1" x14ac:dyDescent="0.3">
      <c r="A44" t="s">
        <v>1407</v>
      </c>
      <c r="B44" t="s">
        <v>902</v>
      </c>
      <c r="C44" t="s">
        <v>1039</v>
      </c>
      <c r="D44" t="s">
        <v>1053</v>
      </c>
      <c r="E44" s="23" t="s">
        <v>15</v>
      </c>
      <c r="F44" s="23" t="s">
        <v>27</v>
      </c>
      <c r="G44" s="23"/>
      <c r="H44" s="23" t="s">
        <v>612</v>
      </c>
      <c r="I44" s="23"/>
      <c r="J44" s="63" t="s">
        <v>1624</v>
      </c>
      <c r="K44" s="63" t="s">
        <v>1624</v>
      </c>
      <c r="L44" s="24" t="e">
        <f t="shared" si="4"/>
        <v>#VALUE!</v>
      </c>
      <c r="M44" s="36"/>
      <c r="N44" s="36"/>
      <c r="O44" s="36"/>
      <c r="P44" s="36"/>
      <c r="Q44" s="36"/>
      <c r="R44" s="36"/>
      <c r="S44" s="36"/>
      <c r="T44" s="36"/>
      <c r="U44" s="36"/>
      <c r="V44" s="36" t="s">
        <v>2188</v>
      </c>
      <c r="W44" s="36" t="s">
        <v>2188</v>
      </c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</row>
    <row r="45" spans="1:40" ht="15.75" thickBot="1" x14ac:dyDescent="0.3">
      <c r="A45" t="s">
        <v>1407</v>
      </c>
      <c r="B45" t="s">
        <v>903</v>
      </c>
      <c r="C45" t="s">
        <v>1039</v>
      </c>
      <c r="D45" t="s">
        <v>79</v>
      </c>
      <c r="E45" s="23" t="s">
        <v>18</v>
      </c>
      <c r="F45" s="23" t="s">
        <v>27</v>
      </c>
      <c r="G45" s="23"/>
      <c r="H45" s="23" t="s">
        <v>619</v>
      </c>
      <c r="I45" s="23"/>
      <c r="J45" s="63" t="s">
        <v>1630</v>
      </c>
      <c r="K45" s="63" t="s">
        <v>1630</v>
      </c>
      <c r="L45" s="24" t="e">
        <f t="shared" si="4"/>
        <v>#VALUE!</v>
      </c>
      <c r="M45" s="36"/>
      <c r="N45" s="36"/>
      <c r="O45" s="36"/>
      <c r="P45" s="36"/>
      <c r="Q45" s="36"/>
      <c r="R45" s="36"/>
      <c r="S45" s="36"/>
      <c r="T45" s="36"/>
      <c r="U45" s="36"/>
      <c r="V45" s="36" t="s">
        <v>2188</v>
      </c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</row>
    <row r="46" spans="1:40" ht="15.75" thickBot="1" x14ac:dyDescent="0.3">
      <c r="A46" t="s">
        <v>1407</v>
      </c>
      <c r="B46" s="39" t="s">
        <v>904</v>
      </c>
      <c r="C46" s="39" t="s">
        <v>1039</v>
      </c>
      <c r="D46" s="39" t="s">
        <v>80</v>
      </c>
      <c r="E46" s="67" t="s">
        <v>15</v>
      </c>
      <c r="F46" s="67" t="s">
        <v>1267</v>
      </c>
      <c r="G46" s="67"/>
      <c r="H46" s="67" t="s">
        <v>620</v>
      </c>
      <c r="I46" s="67"/>
      <c r="J46" s="63" t="s">
        <v>1631</v>
      </c>
      <c r="K46" s="63" t="s">
        <v>1631</v>
      </c>
      <c r="L46" s="24" t="e">
        <f t="shared" si="4"/>
        <v>#VALUE!</v>
      </c>
      <c r="M46" s="36"/>
      <c r="N46" s="36"/>
      <c r="O46" s="36"/>
      <c r="P46" s="36"/>
      <c r="Q46" s="36"/>
      <c r="R46" s="36"/>
      <c r="S46" s="36"/>
      <c r="T46" s="36"/>
      <c r="U46" s="36"/>
      <c r="V46" s="36" t="s">
        <v>2188</v>
      </c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</row>
    <row r="47" spans="1:40" ht="15.75" thickBot="1" x14ac:dyDescent="0.3">
      <c r="A47" t="s">
        <v>51</v>
      </c>
      <c r="B47" t="s">
        <v>905</v>
      </c>
      <c r="C47" t="s">
        <v>1039</v>
      </c>
      <c r="D47" t="s">
        <v>119</v>
      </c>
      <c r="E47" s="23" t="s">
        <v>18</v>
      </c>
      <c r="F47" s="23" t="s">
        <v>27</v>
      </c>
      <c r="G47" s="23"/>
      <c r="H47" s="23" t="s">
        <v>639</v>
      </c>
      <c r="I47" s="23"/>
      <c r="J47" s="63" t="s">
        <v>1653</v>
      </c>
      <c r="K47" s="63" t="s">
        <v>1653</v>
      </c>
      <c r="L47" s="24" t="e">
        <f t="shared" si="4"/>
        <v>#VALUE!</v>
      </c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</row>
    <row r="48" spans="1:40" ht="15.75" thickBot="1" x14ac:dyDescent="0.3">
      <c r="A48" t="s">
        <v>51</v>
      </c>
      <c r="B48" s="39" t="s">
        <v>906</v>
      </c>
      <c r="C48" s="39" t="s">
        <v>1039</v>
      </c>
      <c r="D48" s="39" t="s">
        <v>139</v>
      </c>
      <c r="E48" s="67" t="s">
        <v>18</v>
      </c>
      <c r="F48" s="67" t="s">
        <v>1267</v>
      </c>
      <c r="G48" s="67"/>
      <c r="H48" s="67" t="s">
        <v>1316</v>
      </c>
      <c r="I48" s="67"/>
      <c r="J48" s="63" t="s">
        <v>1666</v>
      </c>
      <c r="K48" s="63" t="s">
        <v>1666</v>
      </c>
      <c r="L48" s="24" t="e">
        <f t="shared" si="4"/>
        <v>#VALUE!</v>
      </c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spans="1:40" ht="15.75" thickBot="1" x14ac:dyDescent="0.3">
      <c r="A49" t="s">
        <v>51</v>
      </c>
      <c r="B49" s="39" t="s">
        <v>907</v>
      </c>
      <c r="C49" s="39" t="s">
        <v>1039</v>
      </c>
      <c r="D49" s="39" t="s">
        <v>44</v>
      </c>
      <c r="E49" s="67" t="s">
        <v>45</v>
      </c>
      <c r="F49" s="67" t="s">
        <v>1267</v>
      </c>
      <c r="G49" s="67"/>
      <c r="H49" s="67" t="s">
        <v>650</v>
      </c>
      <c r="I49" s="67"/>
      <c r="J49" s="63" t="s">
        <v>1667</v>
      </c>
      <c r="K49" s="63" t="s">
        <v>1667</v>
      </c>
      <c r="L49" s="24" t="e">
        <f t="shared" si="4"/>
        <v>#VALUE!</v>
      </c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spans="1:40" ht="15.75" thickBot="1" x14ac:dyDescent="0.3">
      <c r="A50" t="s">
        <v>51</v>
      </c>
      <c r="B50" s="39" t="s">
        <v>908</v>
      </c>
      <c r="C50" s="39" t="s">
        <v>1039</v>
      </c>
      <c r="D50" s="39" t="s">
        <v>46</v>
      </c>
      <c r="E50" s="67" t="s">
        <v>18</v>
      </c>
      <c r="F50" s="67" t="s">
        <v>1267</v>
      </c>
      <c r="G50" s="67"/>
      <c r="H50" s="67" t="s">
        <v>1323</v>
      </c>
      <c r="I50" s="67"/>
      <c r="J50" s="63" t="s">
        <v>1669</v>
      </c>
      <c r="K50" s="63" t="s">
        <v>1669</v>
      </c>
      <c r="L50" s="24" t="e">
        <f t="shared" si="4"/>
        <v>#VALUE!</v>
      </c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spans="1:40" ht="15.75" thickBot="1" x14ac:dyDescent="0.3">
      <c r="A51" t="s">
        <v>51</v>
      </c>
      <c r="B51" s="39" t="s">
        <v>47</v>
      </c>
      <c r="C51" s="39" t="s">
        <v>1039</v>
      </c>
      <c r="D51" s="39" t="s">
        <v>48</v>
      </c>
      <c r="E51" s="67" t="s">
        <v>18</v>
      </c>
      <c r="F51" s="67" t="s">
        <v>1267</v>
      </c>
      <c r="G51" s="67"/>
      <c r="H51" s="67" t="s">
        <v>1311</v>
      </c>
      <c r="I51" s="67"/>
      <c r="J51" s="63" t="s">
        <v>1670</v>
      </c>
      <c r="K51" s="63" t="s">
        <v>1670</v>
      </c>
      <c r="L51" s="24" t="e">
        <f t="shared" si="4"/>
        <v>#VALUE!</v>
      </c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spans="1:40" ht="15.75" thickBot="1" x14ac:dyDescent="0.3">
      <c r="A52" t="s">
        <v>51</v>
      </c>
      <c r="B52" s="39" t="s">
        <v>49</v>
      </c>
      <c r="C52" s="39" t="s">
        <v>1039</v>
      </c>
      <c r="D52" s="39" t="s">
        <v>50</v>
      </c>
      <c r="E52" s="67" t="s">
        <v>18</v>
      </c>
      <c r="F52" s="67" t="s">
        <v>1267</v>
      </c>
      <c r="G52" s="67"/>
      <c r="H52" s="67" t="s">
        <v>1364</v>
      </c>
      <c r="I52" s="67"/>
      <c r="J52" s="63" t="s">
        <v>1671</v>
      </c>
      <c r="K52" s="63" t="s">
        <v>1671</v>
      </c>
      <c r="L52" s="24" t="e">
        <f t="shared" si="4"/>
        <v>#VALUE!</v>
      </c>
      <c r="M52" s="36"/>
      <c r="N52" s="36"/>
      <c r="O52" s="36"/>
      <c r="P52" s="36" t="s">
        <v>2188</v>
      </c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spans="1:40" ht="15.75" thickBot="1" x14ac:dyDescent="0.3">
      <c r="A53" t="s">
        <v>51</v>
      </c>
      <c r="B53" s="39" t="s">
        <v>52</v>
      </c>
      <c r="C53" s="39" t="s">
        <v>1039</v>
      </c>
      <c r="D53" s="39" t="s">
        <v>53</v>
      </c>
      <c r="E53" s="67" t="s">
        <v>15</v>
      </c>
      <c r="F53" s="67" t="s">
        <v>1267</v>
      </c>
      <c r="G53" s="67"/>
      <c r="H53" s="67" t="s">
        <v>1380</v>
      </c>
      <c r="I53" s="67"/>
      <c r="J53" s="63" t="s">
        <v>1672</v>
      </c>
      <c r="K53" s="63" t="s">
        <v>1672</v>
      </c>
      <c r="L53" s="24" t="e">
        <f t="shared" si="4"/>
        <v>#VALUE!</v>
      </c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spans="1:40" ht="15.75" thickBot="1" x14ac:dyDescent="0.3">
      <c r="A54" t="s">
        <v>51</v>
      </c>
      <c r="B54" s="39" t="s">
        <v>54</v>
      </c>
      <c r="C54" s="39" t="s">
        <v>1039</v>
      </c>
      <c r="D54" s="39" t="s">
        <v>55</v>
      </c>
      <c r="E54" s="67" t="s">
        <v>15</v>
      </c>
      <c r="F54" s="67" t="s">
        <v>1267</v>
      </c>
      <c r="G54" s="67"/>
      <c r="H54" s="67" t="s">
        <v>1319</v>
      </c>
      <c r="I54" s="67"/>
      <c r="J54" s="63" t="s">
        <v>1673</v>
      </c>
      <c r="K54" s="63" t="s">
        <v>1673</v>
      </c>
      <c r="L54" s="24" t="e">
        <f t="shared" si="4"/>
        <v>#VALUE!</v>
      </c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spans="1:40" ht="15.75" thickBot="1" x14ac:dyDescent="0.3">
      <c r="A55" t="s">
        <v>51</v>
      </c>
      <c r="B55" t="s">
        <v>56</v>
      </c>
      <c r="C55" t="s">
        <v>1039</v>
      </c>
      <c r="D55" t="s">
        <v>57</v>
      </c>
      <c r="E55" s="23" t="s">
        <v>15</v>
      </c>
      <c r="F55" s="23" t="s">
        <v>27</v>
      </c>
      <c r="G55" s="23"/>
      <c r="H55" s="23" t="s">
        <v>651</v>
      </c>
      <c r="I55" s="23"/>
      <c r="J55" s="63" t="s">
        <v>1674</v>
      </c>
      <c r="K55" s="63" t="s">
        <v>1674</v>
      </c>
      <c r="L55" s="24" t="e">
        <f t="shared" si="4"/>
        <v>#VALUE!</v>
      </c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spans="1:40" ht="15.75" thickBot="1" x14ac:dyDescent="0.3">
      <c r="A56" t="s">
        <v>51</v>
      </c>
      <c r="B56" t="s">
        <v>59</v>
      </c>
      <c r="C56" t="s">
        <v>1039</v>
      </c>
      <c r="D56" t="s">
        <v>60</v>
      </c>
      <c r="E56" s="23" t="s">
        <v>15</v>
      </c>
      <c r="F56" s="23" t="s">
        <v>2281</v>
      </c>
      <c r="G56" s="23" t="s">
        <v>44</v>
      </c>
      <c r="H56" s="23" t="s">
        <v>652</v>
      </c>
      <c r="I56" s="23"/>
      <c r="J56" s="63" t="s">
        <v>1676</v>
      </c>
      <c r="K56" s="63" t="s">
        <v>1676</v>
      </c>
      <c r="L56" s="24" t="e">
        <f t="shared" si="4"/>
        <v>#VALUE!</v>
      </c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spans="1:40" ht="15.75" thickBot="1" x14ac:dyDescent="0.3">
      <c r="A57" t="s">
        <v>51</v>
      </c>
      <c r="B57" s="39" t="s">
        <v>61</v>
      </c>
      <c r="C57" s="39" t="s">
        <v>1039</v>
      </c>
      <c r="D57" s="39" t="s">
        <v>62</v>
      </c>
      <c r="E57" s="67" t="s">
        <v>15</v>
      </c>
      <c r="F57" s="67" t="s">
        <v>1267</v>
      </c>
      <c r="G57" s="67"/>
      <c r="H57" s="67" t="s">
        <v>1320</v>
      </c>
      <c r="I57" s="67"/>
      <c r="J57" s="63" t="s">
        <v>1677</v>
      </c>
      <c r="K57" s="63" t="s">
        <v>1677</v>
      </c>
      <c r="L57" s="24" t="e">
        <f t="shared" si="4"/>
        <v>#VALUE!</v>
      </c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spans="1:40" ht="15.75" thickBot="1" x14ac:dyDescent="0.3">
      <c r="A58" t="s">
        <v>51</v>
      </c>
      <c r="B58" s="39" t="s">
        <v>909</v>
      </c>
      <c r="C58" s="39" t="s">
        <v>1039</v>
      </c>
      <c r="D58" s="39" t="s">
        <v>144</v>
      </c>
      <c r="E58" s="67" t="s">
        <v>45</v>
      </c>
      <c r="F58" s="67" t="s">
        <v>1267</v>
      </c>
      <c r="G58" s="67"/>
      <c r="H58" s="67" t="s">
        <v>1036</v>
      </c>
      <c r="I58" s="67"/>
      <c r="J58" s="63" t="s">
        <v>1681</v>
      </c>
      <c r="K58" s="63" t="s">
        <v>1681</v>
      </c>
      <c r="L58" s="24" t="e">
        <f t="shared" si="4"/>
        <v>#VALUE!</v>
      </c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spans="1:40" s="39" customFormat="1" ht="15.75" thickBot="1" x14ac:dyDescent="0.3">
      <c r="A59" s="39" t="s">
        <v>51</v>
      </c>
      <c r="B59" t="s">
        <v>64</v>
      </c>
      <c r="C59" t="s">
        <v>1039</v>
      </c>
      <c r="D59" t="s">
        <v>65</v>
      </c>
      <c r="E59" s="23" t="s">
        <v>18</v>
      </c>
      <c r="F59" s="23" t="s">
        <v>27</v>
      </c>
      <c r="G59" s="23"/>
      <c r="H59" s="23" t="s">
        <v>663</v>
      </c>
      <c r="I59" s="23"/>
      <c r="J59" s="63" t="s">
        <v>1685</v>
      </c>
      <c r="K59" s="63" t="s">
        <v>1685</v>
      </c>
      <c r="L59" s="62" t="e">
        <f t="shared" si="4"/>
        <v>#VALUE!</v>
      </c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spans="1:40" ht="15.75" thickBot="1" x14ac:dyDescent="0.3">
      <c r="A60" t="s">
        <v>51</v>
      </c>
      <c r="B60" s="39" t="s">
        <v>66</v>
      </c>
      <c r="C60" s="39" t="s">
        <v>1039</v>
      </c>
      <c r="D60" s="39" t="s">
        <v>67</v>
      </c>
      <c r="E60" s="67" t="s">
        <v>18</v>
      </c>
      <c r="F60" s="67" t="s">
        <v>1267</v>
      </c>
      <c r="G60" s="67"/>
      <c r="H60" s="67" t="s">
        <v>664</v>
      </c>
      <c r="I60" s="67"/>
      <c r="J60" s="63" t="s">
        <v>1686</v>
      </c>
      <c r="K60" s="63" t="s">
        <v>1686</v>
      </c>
      <c r="L60" s="24" t="e">
        <f t="shared" si="4"/>
        <v>#VALUE!</v>
      </c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spans="1:40" s="39" customFormat="1" ht="15.75" thickBot="1" x14ac:dyDescent="0.3">
      <c r="A61" s="39" t="s">
        <v>51</v>
      </c>
      <c r="B61" t="s">
        <v>68</v>
      </c>
      <c r="C61" t="s">
        <v>1039</v>
      </c>
      <c r="D61" t="s">
        <v>69</v>
      </c>
      <c r="E61" s="23" t="s">
        <v>18</v>
      </c>
      <c r="F61" s="23" t="s">
        <v>27</v>
      </c>
      <c r="G61" s="23"/>
      <c r="H61" s="23" t="s">
        <v>665</v>
      </c>
      <c r="I61" s="23"/>
      <c r="J61" s="63" t="s">
        <v>1687</v>
      </c>
      <c r="K61" s="63" t="s">
        <v>1687</v>
      </c>
      <c r="L61" s="62" t="e">
        <f t="shared" si="4"/>
        <v>#VALUE!</v>
      </c>
      <c r="M61" s="36"/>
      <c r="N61" s="36"/>
      <c r="O61" s="36"/>
      <c r="P61" s="36" t="s">
        <v>2188</v>
      </c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spans="1:40" ht="15.75" thickBot="1" x14ac:dyDescent="0.3">
      <c r="A62" t="s">
        <v>51</v>
      </c>
      <c r="B62" s="39" t="s">
        <v>910</v>
      </c>
      <c r="C62" s="39" t="s">
        <v>1039</v>
      </c>
      <c r="D62" s="39" t="s">
        <v>911</v>
      </c>
      <c r="E62" s="67" t="s">
        <v>18</v>
      </c>
      <c r="F62" s="67" t="s">
        <v>1267</v>
      </c>
      <c r="G62" s="67"/>
      <c r="H62" s="67" t="s">
        <v>1184</v>
      </c>
      <c r="I62" s="67"/>
      <c r="J62" s="63" t="s">
        <v>1690</v>
      </c>
      <c r="K62" s="63" t="s">
        <v>1690</v>
      </c>
      <c r="L62" s="24" t="e">
        <f t="shared" si="4"/>
        <v>#VALUE!</v>
      </c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spans="1:40" ht="15.75" thickBot="1" x14ac:dyDescent="0.3">
      <c r="A63" t="s">
        <v>51</v>
      </c>
      <c r="B63" t="s">
        <v>912</v>
      </c>
      <c r="C63" t="s">
        <v>1039</v>
      </c>
      <c r="D63" t="s">
        <v>1050</v>
      </c>
      <c r="E63" s="23" t="s">
        <v>71</v>
      </c>
      <c r="F63" s="23" t="s">
        <v>27</v>
      </c>
      <c r="G63" s="23"/>
      <c r="H63" s="23" t="s">
        <v>1432</v>
      </c>
      <c r="I63" s="23"/>
      <c r="J63" s="63" t="s">
        <v>1691</v>
      </c>
      <c r="K63" s="63" t="s">
        <v>1691</v>
      </c>
      <c r="L63" s="24" t="e">
        <f t="shared" si="4"/>
        <v>#VALUE!</v>
      </c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spans="1:40" ht="15.75" thickBot="1" x14ac:dyDescent="0.3">
      <c r="A64" t="s">
        <v>51</v>
      </c>
      <c r="B64" t="s">
        <v>1081</v>
      </c>
      <c r="C64" t="s">
        <v>1039</v>
      </c>
      <c r="D64" t="s">
        <v>1080</v>
      </c>
      <c r="E64" s="23" t="s">
        <v>71</v>
      </c>
      <c r="F64" s="23" t="s">
        <v>27</v>
      </c>
      <c r="G64" s="23"/>
      <c r="H64" s="23" t="s">
        <v>1082</v>
      </c>
      <c r="I64" s="23"/>
      <c r="J64" s="63" t="s">
        <v>1692</v>
      </c>
      <c r="K64" s="63" t="s">
        <v>1692</v>
      </c>
      <c r="L64" s="24" t="e">
        <f t="shared" si="4"/>
        <v>#VALUE!</v>
      </c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spans="1:40" ht="15.75" thickBot="1" x14ac:dyDescent="0.3">
      <c r="A65" t="s">
        <v>51</v>
      </c>
      <c r="B65" s="23" t="s">
        <v>1090</v>
      </c>
      <c r="C65" s="23" t="s">
        <v>1039</v>
      </c>
      <c r="D65" t="s">
        <v>112</v>
      </c>
      <c r="E65" s="23" t="s">
        <v>71</v>
      </c>
      <c r="F65" s="23" t="s">
        <v>27</v>
      </c>
      <c r="G65" s="23"/>
      <c r="H65" s="23" t="s">
        <v>1091</v>
      </c>
      <c r="I65" s="23"/>
      <c r="J65" s="63" t="s">
        <v>1693</v>
      </c>
      <c r="K65" s="63" t="s">
        <v>1693</v>
      </c>
      <c r="L65" s="24" t="e">
        <f t="shared" si="4"/>
        <v>#VALUE!</v>
      </c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spans="1:40" s="39" customFormat="1" ht="15.75" thickBot="1" x14ac:dyDescent="0.3">
      <c r="A66" s="39" t="s">
        <v>91</v>
      </c>
      <c r="B66" s="23" t="s">
        <v>1083</v>
      </c>
      <c r="C66" s="23" t="s">
        <v>1039</v>
      </c>
      <c r="D66" t="s">
        <v>1085</v>
      </c>
      <c r="E66" s="23" t="s">
        <v>71</v>
      </c>
      <c r="F66" s="23" t="s">
        <v>27</v>
      </c>
      <c r="G66" s="23"/>
      <c r="H66" s="23" t="s">
        <v>1092</v>
      </c>
      <c r="I66" s="23"/>
      <c r="J66" s="63" t="s">
        <v>1694</v>
      </c>
      <c r="K66" s="63" t="s">
        <v>1694</v>
      </c>
      <c r="L66" s="62" t="e">
        <f t="shared" si="4"/>
        <v>#VALUE!</v>
      </c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spans="1:40" s="44" customFormat="1" ht="15.75" thickBot="1" x14ac:dyDescent="0.3">
      <c r="A67" s="44" t="s">
        <v>51</v>
      </c>
      <c r="B67" s="23" t="s">
        <v>1084</v>
      </c>
      <c r="C67" s="23" t="s">
        <v>1039</v>
      </c>
      <c r="D67" t="s">
        <v>1085</v>
      </c>
      <c r="E67" s="23" t="s">
        <v>71</v>
      </c>
      <c r="F67" s="23" t="s">
        <v>27</v>
      </c>
      <c r="G67" s="23"/>
      <c r="H67" s="23" t="s">
        <v>1093</v>
      </c>
      <c r="I67" s="23"/>
      <c r="J67" s="63" t="s">
        <v>1695</v>
      </c>
      <c r="K67" s="63" t="s">
        <v>1695</v>
      </c>
      <c r="L67" s="24" t="e">
        <f t="shared" si="4"/>
        <v>#VALUE!</v>
      </c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45"/>
      <c r="AF67" s="45"/>
      <c r="AG67" s="36"/>
      <c r="AH67" s="45"/>
      <c r="AI67" s="45"/>
      <c r="AJ67" s="45"/>
      <c r="AK67" s="45"/>
      <c r="AL67" s="45"/>
      <c r="AM67" s="45"/>
      <c r="AN67" s="45"/>
    </row>
    <row r="68" spans="1:40" s="39" customFormat="1" ht="15.75" thickBot="1" x14ac:dyDescent="0.3">
      <c r="A68" s="39" t="s">
        <v>51</v>
      </c>
      <c r="B68" s="23" t="s">
        <v>1152</v>
      </c>
      <c r="C68" s="23" t="s">
        <v>1039</v>
      </c>
      <c r="D68" t="s">
        <v>83</v>
      </c>
      <c r="E68" s="23" t="s">
        <v>71</v>
      </c>
      <c r="F68" s="23" t="s">
        <v>1267</v>
      </c>
      <c r="G68" s="23"/>
      <c r="H68" s="23" t="s">
        <v>1153</v>
      </c>
      <c r="I68" s="23"/>
      <c r="J68" s="63" t="s">
        <v>1696</v>
      </c>
      <c r="K68" s="63" t="s">
        <v>1696</v>
      </c>
      <c r="L68" s="62" t="e">
        <f t="shared" si="4"/>
        <v>#VALUE!</v>
      </c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spans="1:40" ht="15.75" thickBot="1" x14ac:dyDescent="0.3">
      <c r="A69" t="s">
        <v>51</v>
      </c>
      <c r="B69" s="67" t="s">
        <v>1168</v>
      </c>
      <c r="C69" s="67" t="s">
        <v>1039</v>
      </c>
      <c r="D69" s="39" t="s">
        <v>1169</v>
      </c>
      <c r="E69" s="67" t="s">
        <v>18</v>
      </c>
      <c r="F69" s="67" t="s">
        <v>1267</v>
      </c>
      <c r="G69" s="67"/>
      <c r="H69" s="67" t="s">
        <v>1170</v>
      </c>
      <c r="I69" s="67"/>
      <c r="J69" s="63" t="s">
        <v>1697</v>
      </c>
      <c r="K69" s="63" t="s">
        <v>1697</v>
      </c>
      <c r="L69" s="24" t="e">
        <f t="shared" si="4"/>
        <v>#VALUE!</v>
      </c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spans="1:40" ht="15.75" thickBot="1" x14ac:dyDescent="0.3">
      <c r="A70" t="s">
        <v>51</v>
      </c>
      <c r="B70" s="39" t="s">
        <v>1193</v>
      </c>
      <c r="C70" s="67" t="s">
        <v>1039</v>
      </c>
      <c r="D70" s="39" t="s">
        <v>1194</v>
      </c>
      <c r="E70" s="39" t="s">
        <v>71</v>
      </c>
      <c r="F70" s="39" t="s">
        <v>1267</v>
      </c>
      <c r="G70" s="39"/>
      <c r="H70" s="67" t="s">
        <v>1270</v>
      </c>
      <c r="I70" s="67"/>
      <c r="J70" s="63" t="s">
        <v>1699</v>
      </c>
      <c r="K70" s="63" t="s">
        <v>1699</v>
      </c>
      <c r="L70" s="24" t="e">
        <f t="shared" si="4"/>
        <v>#VALUE!</v>
      </c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spans="1:40" ht="15.75" thickBot="1" x14ac:dyDescent="0.3">
      <c r="A71" t="s">
        <v>51</v>
      </c>
      <c r="B71" t="s">
        <v>1195</v>
      </c>
      <c r="C71" s="23" t="s">
        <v>1039</v>
      </c>
      <c r="D71" t="s">
        <v>1196</v>
      </c>
      <c r="E71" t="s">
        <v>71</v>
      </c>
      <c r="F71" t="s">
        <v>27</v>
      </c>
      <c r="G71"/>
      <c r="H71" s="23" t="s">
        <v>1281</v>
      </c>
      <c r="I71" s="23"/>
      <c r="J71" s="63" t="s">
        <v>1700</v>
      </c>
      <c r="K71" s="63" t="s">
        <v>1700</v>
      </c>
      <c r="L71" s="24" t="e">
        <f t="shared" si="4"/>
        <v>#VALUE!</v>
      </c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spans="1:40" ht="15.75" thickBot="1" x14ac:dyDescent="0.3">
      <c r="A72" t="s">
        <v>51</v>
      </c>
      <c r="B72" s="23" t="s">
        <v>1266</v>
      </c>
      <c r="C72" s="23" t="s">
        <v>1039</v>
      </c>
      <c r="D72" t="s">
        <v>78</v>
      </c>
      <c r="E72" s="23" t="s">
        <v>71</v>
      </c>
      <c r="F72" s="23" t="s">
        <v>27</v>
      </c>
      <c r="G72" s="23"/>
      <c r="H72" s="23" t="s">
        <v>1265</v>
      </c>
      <c r="I72" s="23"/>
      <c r="J72" s="63" t="s">
        <v>1701</v>
      </c>
      <c r="K72" s="63" t="s">
        <v>1701</v>
      </c>
      <c r="L72" s="24" t="e">
        <f t="shared" si="4"/>
        <v>#VALUE!</v>
      </c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spans="1:40" ht="15.75" thickBot="1" x14ac:dyDescent="0.3">
      <c r="A73" t="s">
        <v>51</v>
      </c>
      <c r="B73" t="s">
        <v>2282</v>
      </c>
      <c r="C73" t="s">
        <v>1039</v>
      </c>
      <c r="D73" t="s">
        <v>70</v>
      </c>
      <c r="E73" s="23" t="s">
        <v>71</v>
      </c>
      <c r="F73" s="23" t="s">
        <v>1267</v>
      </c>
      <c r="G73" s="23"/>
      <c r="H73" s="23" t="s">
        <v>609</v>
      </c>
      <c r="I73" s="23"/>
      <c r="J73" s="63" t="s">
        <v>1620</v>
      </c>
      <c r="K73" s="63" t="s">
        <v>1620</v>
      </c>
      <c r="L73" s="24" t="e">
        <f t="shared" si="4"/>
        <v>#VALUE!</v>
      </c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spans="1:40" ht="15.75" thickBot="1" x14ac:dyDescent="0.3">
      <c r="A74" t="s">
        <v>51</v>
      </c>
      <c r="B74" t="s">
        <v>2283</v>
      </c>
      <c r="C74" t="s">
        <v>1039</v>
      </c>
      <c r="D74" t="s">
        <v>72</v>
      </c>
      <c r="E74" s="23" t="s">
        <v>71</v>
      </c>
      <c r="F74" s="23" t="s">
        <v>1267</v>
      </c>
      <c r="G74" s="23"/>
      <c r="H74" s="23" t="s">
        <v>603</v>
      </c>
      <c r="I74" s="23"/>
      <c r="J74" s="63" t="s">
        <v>1621</v>
      </c>
      <c r="K74" s="63" t="s">
        <v>1621</v>
      </c>
      <c r="L74" s="24" t="e">
        <f t="shared" si="4"/>
        <v>#VALUE!</v>
      </c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</row>
    <row r="75" spans="1:40" ht="15.75" thickBot="1" x14ac:dyDescent="0.3">
      <c r="A75" t="s">
        <v>51</v>
      </c>
      <c r="B75" t="s">
        <v>2284</v>
      </c>
      <c r="C75" t="s">
        <v>1039</v>
      </c>
      <c r="D75" t="s">
        <v>73</v>
      </c>
      <c r="E75" s="23" t="s">
        <v>18</v>
      </c>
      <c r="F75" s="23" t="s">
        <v>27</v>
      </c>
      <c r="G75" s="23"/>
      <c r="H75" s="23" t="s">
        <v>610</v>
      </c>
      <c r="I75" s="23"/>
      <c r="J75" s="63" t="s">
        <v>1622</v>
      </c>
      <c r="K75" s="63" t="s">
        <v>1622</v>
      </c>
      <c r="L75" s="24" t="e">
        <f t="shared" si="4"/>
        <v>#VALUE!</v>
      </c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 t="s">
        <v>2188</v>
      </c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</row>
    <row r="76" spans="1:40" ht="15.75" thickBot="1" x14ac:dyDescent="0.3">
      <c r="A76" t="s">
        <v>51</v>
      </c>
      <c r="B76" t="s">
        <v>2285</v>
      </c>
      <c r="C76" t="s">
        <v>1039</v>
      </c>
      <c r="D76" t="s">
        <v>74</v>
      </c>
      <c r="E76" s="23" t="s">
        <v>18</v>
      </c>
      <c r="F76" s="23" t="s">
        <v>27</v>
      </c>
      <c r="G76" s="23"/>
      <c r="H76" s="23" t="s">
        <v>611</v>
      </c>
      <c r="I76" s="23"/>
      <c r="J76" s="63" t="s">
        <v>1623</v>
      </c>
      <c r="K76" s="63" t="s">
        <v>1623</v>
      </c>
      <c r="L76" s="24" t="e">
        <f t="shared" si="4"/>
        <v>#VALUE!</v>
      </c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</row>
    <row r="77" spans="1:40" ht="15.75" thickBot="1" x14ac:dyDescent="0.3">
      <c r="A77" t="s">
        <v>51</v>
      </c>
      <c r="B77" t="s">
        <v>2286</v>
      </c>
      <c r="C77" t="s">
        <v>1039</v>
      </c>
      <c r="D77" t="s">
        <v>75</v>
      </c>
      <c r="E77" s="23" t="s">
        <v>71</v>
      </c>
      <c r="F77" s="23" t="s">
        <v>27</v>
      </c>
      <c r="G77" s="23"/>
      <c r="H77" s="23" t="s">
        <v>613</v>
      </c>
      <c r="I77" s="23"/>
      <c r="J77" s="63" t="s">
        <v>2287</v>
      </c>
      <c r="K77" s="63" t="s">
        <v>2287</v>
      </c>
      <c r="L77" s="24" t="e">
        <f t="shared" si="4"/>
        <v>#VALUE!</v>
      </c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</row>
    <row r="78" spans="1:40" ht="15.75" thickBot="1" x14ac:dyDescent="0.3">
      <c r="A78" t="s">
        <v>51</v>
      </c>
      <c r="B78" t="s">
        <v>2288</v>
      </c>
      <c r="C78" t="s">
        <v>1039</v>
      </c>
      <c r="D78" t="s">
        <v>1049</v>
      </c>
      <c r="E78" s="23" t="s">
        <v>15</v>
      </c>
      <c r="F78" s="23" t="s">
        <v>27</v>
      </c>
      <c r="G78" s="23"/>
      <c r="H78" s="23" t="s">
        <v>614</v>
      </c>
      <c r="I78" s="23"/>
      <c r="J78" s="63" t="s">
        <v>1625</v>
      </c>
      <c r="K78" s="63" t="s">
        <v>1625</v>
      </c>
      <c r="L78" s="24" t="e">
        <f t="shared" si="4"/>
        <v>#VALUE!</v>
      </c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</row>
    <row r="79" spans="1:40" ht="15.75" thickBot="1" x14ac:dyDescent="0.3">
      <c r="A79" t="s">
        <v>51</v>
      </c>
      <c r="B79" t="s">
        <v>2289</v>
      </c>
      <c r="C79" t="s">
        <v>1039</v>
      </c>
      <c r="D79" t="s">
        <v>1048</v>
      </c>
      <c r="E79" s="23" t="s">
        <v>18</v>
      </c>
      <c r="F79" s="23" t="s">
        <v>27</v>
      </c>
      <c r="G79" s="23"/>
      <c r="H79" s="23" t="s">
        <v>615</v>
      </c>
      <c r="I79" s="23"/>
      <c r="J79" s="63" t="s">
        <v>1626</v>
      </c>
      <c r="K79" s="63" t="s">
        <v>1626</v>
      </c>
      <c r="L79" s="24" t="e">
        <f t="shared" si="4"/>
        <v>#VALUE!</v>
      </c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</row>
    <row r="80" spans="1:40" ht="15.75" thickBot="1" x14ac:dyDescent="0.3">
      <c r="A80" t="s">
        <v>51</v>
      </c>
      <c r="B80" t="s">
        <v>2290</v>
      </c>
      <c r="C80" t="s">
        <v>1039</v>
      </c>
      <c r="D80" t="s">
        <v>76</v>
      </c>
      <c r="E80" s="23" t="s">
        <v>18</v>
      </c>
      <c r="F80" s="23" t="s">
        <v>27</v>
      </c>
      <c r="G80" s="23"/>
      <c r="H80" s="23" t="s">
        <v>616</v>
      </c>
      <c r="I80" s="23"/>
      <c r="J80" s="63" t="s">
        <v>1627</v>
      </c>
      <c r="K80" s="63" t="s">
        <v>1627</v>
      </c>
      <c r="L80" s="24" t="e">
        <f t="shared" si="4"/>
        <v>#VALUE!</v>
      </c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</row>
    <row r="81" spans="1:40" ht="15.75" thickBot="1" x14ac:dyDescent="0.3">
      <c r="A81" t="s">
        <v>51</v>
      </c>
      <c r="B81" t="s">
        <v>2291</v>
      </c>
      <c r="C81" t="s">
        <v>1039</v>
      </c>
      <c r="D81" t="s">
        <v>1047</v>
      </c>
      <c r="E81" s="23" t="s">
        <v>18</v>
      </c>
      <c r="F81" s="23" t="s">
        <v>27</v>
      </c>
      <c r="G81" s="23"/>
      <c r="H81" s="23" t="s">
        <v>617</v>
      </c>
      <c r="I81" s="23"/>
      <c r="J81" s="63" t="s">
        <v>1628</v>
      </c>
      <c r="K81" s="63" t="s">
        <v>1628</v>
      </c>
      <c r="L81" s="24" t="e">
        <f t="shared" si="4"/>
        <v>#VALUE!</v>
      </c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</row>
    <row r="82" spans="1:40" ht="15.75" thickBot="1" x14ac:dyDescent="0.3">
      <c r="A82" t="s">
        <v>51</v>
      </c>
      <c r="B82" s="67" t="s">
        <v>2216</v>
      </c>
      <c r="C82" s="67" t="s">
        <v>1039</v>
      </c>
      <c r="D82" s="39" t="s">
        <v>2217</v>
      </c>
      <c r="E82" s="67" t="s">
        <v>18</v>
      </c>
      <c r="F82" s="23" t="s">
        <v>27</v>
      </c>
      <c r="G82" s="67"/>
      <c r="H82" s="67" t="s">
        <v>2218</v>
      </c>
      <c r="I82" s="67"/>
      <c r="J82" s="63" t="s">
        <v>2219</v>
      </c>
      <c r="K82" s="63" t="s">
        <v>2219</v>
      </c>
      <c r="L82" s="24" t="e">
        <f t="shared" si="4"/>
        <v>#VALUE!</v>
      </c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</row>
    <row r="83" spans="1:40" ht="15.75" thickBot="1" x14ac:dyDescent="0.3">
      <c r="A83" t="s">
        <v>51</v>
      </c>
      <c r="B83" t="s">
        <v>77</v>
      </c>
      <c r="C83" t="s">
        <v>1039</v>
      </c>
      <c r="D83" t="s">
        <v>78</v>
      </c>
      <c r="E83" s="23" t="s">
        <v>18</v>
      </c>
      <c r="F83" s="23" t="s">
        <v>27</v>
      </c>
      <c r="G83" s="23"/>
      <c r="H83" s="23" t="s">
        <v>618</v>
      </c>
      <c r="I83" s="23"/>
      <c r="J83" s="63" t="s">
        <v>1629</v>
      </c>
      <c r="K83" s="63" t="s">
        <v>1629</v>
      </c>
      <c r="L83" s="24" t="e">
        <f t="shared" si="4"/>
        <v>#VALUE!</v>
      </c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</row>
    <row r="84" spans="1:40" ht="15.75" thickBot="1" x14ac:dyDescent="0.3">
      <c r="A84" t="s">
        <v>51</v>
      </c>
      <c r="B84" t="s">
        <v>81</v>
      </c>
      <c r="C84" t="s">
        <v>1039</v>
      </c>
      <c r="D84" t="s">
        <v>1051</v>
      </c>
      <c r="E84" s="23" t="s">
        <v>18</v>
      </c>
      <c r="F84" s="23" t="s">
        <v>27</v>
      </c>
      <c r="G84" s="23"/>
      <c r="H84" s="23" t="s">
        <v>621</v>
      </c>
      <c r="I84" s="23"/>
      <c r="J84" s="63" t="s">
        <v>1632</v>
      </c>
      <c r="K84" s="63" t="s">
        <v>1632</v>
      </c>
      <c r="L84" s="24" t="e">
        <f t="shared" si="4"/>
        <v>#VALUE!</v>
      </c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</row>
    <row r="85" spans="1:40" ht="15.75" thickBot="1" x14ac:dyDescent="0.3">
      <c r="A85" t="s">
        <v>51</v>
      </c>
      <c r="B85" s="39" t="s">
        <v>82</v>
      </c>
      <c r="C85" s="39" t="s">
        <v>1039</v>
      </c>
      <c r="D85" s="39" t="s">
        <v>83</v>
      </c>
      <c r="E85" s="67" t="s">
        <v>18</v>
      </c>
      <c r="F85" s="67" t="s">
        <v>1267</v>
      </c>
      <c r="G85" s="67"/>
      <c r="H85" s="67" t="s">
        <v>622</v>
      </c>
      <c r="I85" s="67"/>
      <c r="J85" s="63" t="s">
        <v>1633</v>
      </c>
      <c r="K85" s="63" t="s">
        <v>1633</v>
      </c>
      <c r="L85" s="24" t="e">
        <f t="shared" si="4"/>
        <v>#VALUE!</v>
      </c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</row>
    <row r="86" spans="1:40" ht="15.75" thickBot="1" x14ac:dyDescent="0.3">
      <c r="A86" t="s">
        <v>51</v>
      </c>
      <c r="B86" t="s">
        <v>84</v>
      </c>
      <c r="C86" t="s">
        <v>1039</v>
      </c>
      <c r="D86" t="s">
        <v>85</v>
      </c>
      <c r="E86" s="23" t="s">
        <v>71</v>
      </c>
      <c r="F86" s="23" t="s">
        <v>27</v>
      </c>
      <c r="G86" s="23"/>
      <c r="H86" s="23" t="s">
        <v>623</v>
      </c>
      <c r="I86" s="23"/>
      <c r="J86" s="63" t="s">
        <v>1634</v>
      </c>
      <c r="K86" s="63" t="s">
        <v>1634</v>
      </c>
      <c r="L86" s="24" t="e">
        <f t="shared" si="4"/>
        <v>#VALUE!</v>
      </c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</row>
    <row r="87" spans="1:40" ht="15.75" thickBot="1" x14ac:dyDescent="0.3">
      <c r="A87" t="s">
        <v>51</v>
      </c>
      <c r="B87" t="s">
        <v>86</v>
      </c>
      <c r="C87" t="s">
        <v>1039</v>
      </c>
      <c r="D87" t="s">
        <v>87</v>
      </c>
      <c r="E87" s="23" t="s">
        <v>18</v>
      </c>
      <c r="F87" s="23" t="s">
        <v>1033</v>
      </c>
      <c r="G87" s="23" t="s">
        <v>1219</v>
      </c>
      <c r="H87" s="23" t="s">
        <v>624</v>
      </c>
      <c r="I87" s="23"/>
      <c r="J87" s="63" t="s">
        <v>1635</v>
      </c>
      <c r="K87" s="63" t="s">
        <v>1635</v>
      </c>
      <c r="L87" s="24" t="e">
        <f t="shared" ref="L87:L164" si="5">(I87)/(K87+I87)</f>
        <v>#VALUE!</v>
      </c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</row>
    <row r="88" spans="1:40" s="39" customFormat="1" ht="15.75" thickBot="1" x14ac:dyDescent="0.3">
      <c r="A88" s="39" t="s">
        <v>51</v>
      </c>
      <c r="B88" t="s">
        <v>88</v>
      </c>
      <c r="C88" t="s">
        <v>1039</v>
      </c>
      <c r="D88" t="s">
        <v>89</v>
      </c>
      <c r="E88" s="23" t="s">
        <v>71</v>
      </c>
      <c r="F88" s="23" t="s">
        <v>27</v>
      </c>
      <c r="G88" s="23"/>
      <c r="H88" s="23" t="s">
        <v>625</v>
      </c>
      <c r="I88" s="23"/>
      <c r="J88" s="63" t="s">
        <v>1636</v>
      </c>
      <c r="K88" s="63" t="s">
        <v>1636</v>
      </c>
      <c r="L88" s="62" t="e">
        <f t="shared" si="5"/>
        <v>#VALUE!</v>
      </c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</row>
    <row r="89" spans="1:40" ht="15.75" thickBot="1" x14ac:dyDescent="0.3">
      <c r="A89" t="s">
        <v>51</v>
      </c>
      <c r="B89" t="s">
        <v>90</v>
      </c>
      <c r="C89" t="s">
        <v>1039</v>
      </c>
      <c r="D89" t="s">
        <v>76</v>
      </c>
      <c r="E89" s="23" t="s">
        <v>71</v>
      </c>
      <c r="F89" s="23" t="s">
        <v>27</v>
      </c>
      <c r="G89" s="23"/>
      <c r="H89" s="23" t="s">
        <v>626</v>
      </c>
      <c r="I89" s="23"/>
      <c r="J89" s="63" t="s">
        <v>1637</v>
      </c>
      <c r="K89" s="63" t="s">
        <v>1637</v>
      </c>
      <c r="L89" s="24" t="e">
        <f t="shared" si="5"/>
        <v>#VALUE!</v>
      </c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 t="s">
        <v>2188</v>
      </c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</row>
    <row r="90" spans="1:40" ht="15.75" thickBot="1" x14ac:dyDescent="0.3">
      <c r="A90" t="s">
        <v>51</v>
      </c>
      <c r="B90" s="39" t="s">
        <v>92</v>
      </c>
      <c r="C90" s="39" t="s">
        <v>1039</v>
      </c>
      <c r="D90" s="39" t="s">
        <v>93</v>
      </c>
      <c r="E90" s="67" t="s">
        <v>18</v>
      </c>
      <c r="F90" s="67" t="s">
        <v>1267</v>
      </c>
      <c r="G90" s="67"/>
      <c r="H90" s="67" t="s">
        <v>627</v>
      </c>
      <c r="I90" s="67"/>
      <c r="J90" s="63" t="s">
        <v>1638</v>
      </c>
      <c r="K90" s="63" t="s">
        <v>1638</v>
      </c>
      <c r="L90" s="24" t="e">
        <f t="shared" si="5"/>
        <v>#VALUE!</v>
      </c>
      <c r="M90" s="36" t="s">
        <v>2188</v>
      </c>
      <c r="N90" s="36" t="s">
        <v>2188</v>
      </c>
      <c r="O90" s="36" t="s">
        <v>2188</v>
      </c>
      <c r="P90" s="36" t="s">
        <v>2188</v>
      </c>
      <c r="Q90" s="36" t="s">
        <v>2188</v>
      </c>
      <c r="R90" s="36" t="s">
        <v>2188</v>
      </c>
      <c r="S90" s="36"/>
      <c r="T90" s="36"/>
      <c r="U90" s="36" t="s">
        <v>2188</v>
      </c>
      <c r="V90" s="36" t="s">
        <v>2188</v>
      </c>
      <c r="W90" s="36" t="s">
        <v>2188</v>
      </c>
      <c r="X90" s="36" t="s">
        <v>2188</v>
      </c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</row>
    <row r="91" spans="1:40" ht="15.75" thickBot="1" x14ac:dyDescent="0.3">
      <c r="A91" t="s">
        <v>51</v>
      </c>
      <c r="B91" s="44" t="s">
        <v>94</v>
      </c>
      <c r="C91" s="44" t="s">
        <v>1039</v>
      </c>
      <c r="D91" s="44" t="s">
        <v>95</v>
      </c>
      <c r="E91" s="68" t="s">
        <v>71</v>
      </c>
      <c r="F91" s="67" t="s">
        <v>1267</v>
      </c>
      <c r="G91" s="68"/>
      <c r="H91" s="68" t="s">
        <v>2223</v>
      </c>
      <c r="I91" s="68"/>
      <c r="J91" s="63" t="s">
        <v>2292</v>
      </c>
      <c r="K91" s="63" t="s">
        <v>2292</v>
      </c>
      <c r="L91" s="24" t="e">
        <f t="shared" si="5"/>
        <v>#VALUE!</v>
      </c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</row>
    <row r="92" spans="1:40" ht="15.75" thickBot="1" x14ac:dyDescent="0.3">
      <c r="A92" t="s">
        <v>51</v>
      </c>
      <c r="B92" s="39" t="s">
        <v>96</v>
      </c>
      <c r="C92" s="39" t="s">
        <v>1039</v>
      </c>
      <c r="D92" s="39" t="s">
        <v>97</v>
      </c>
      <c r="E92" s="67" t="s">
        <v>18</v>
      </c>
      <c r="F92" s="67" t="s">
        <v>1267</v>
      </c>
      <c r="G92" s="67"/>
      <c r="H92" s="67" t="s">
        <v>1331</v>
      </c>
      <c r="I92" s="67"/>
      <c r="J92" s="63" t="s">
        <v>1639</v>
      </c>
      <c r="K92" s="63" t="s">
        <v>1639</v>
      </c>
      <c r="L92" s="24" t="e">
        <f t="shared" si="5"/>
        <v>#VALUE!</v>
      </c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</row>
    <row r="93" spans="1:40" ht="15.75" thickBot="1" x14ac:dyDescent="0.3">
      <c r="A93" t="s">
        <v>51</v>
      </c>
      <c r="B93" t="s">
        <v>98</v>
      </c>
      <c r="C93" t="s">
        <v>1039</v>
      </c>
      <c r="D93" t="s">
        <v>99</v>
      </c>
      <c r="E93" s="23" t="s">
        <v>18</v>
      </c>
      <c r="F93" s="23" t="s">
        <v>27</v>
      </c>
      <c r="G93" s="23"/>
      <c r="H93" s="23" t="s">
        <v>628</v>
      </c>
      <c r="I93" s="23"/>
      <c r="J93" s="63" t="s">
        <v>1640</v>
      </c>
      <c r="K93" s="63" t="s">
        <v>1640</v>
      </c>
      <c r="L93" s="24" t="e">
        <f t="shared" si="5"/>
        <v>#VALUE!</v>
      </c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</row>
    <row r="94" spans="1:40" s="39" customFormat="1" ht="15.75" thickBot="1" x14ac:dyDescent="0.3">
      <c r="A94" s="39" t="s">
        <v>51</v>
      </c>
      <c r="B94" t="s">
        <v>100</v>
      </c>
      <c r="C94" t="s">
        <v>1039</v>
      </c>
      <c r="D94" t="s">
        <v>1052</v>
      </c>
      <c r="E94" s="23" t="s">
        <v>18</v>
      </c>
      <c r="F94" s="23" t="s">
        <v>1267</v>
      </c>
      <c r="G94" s="23"/>
      <c r="H94" s="23" t="s">
        <v>2233</v>
      </c>
      <c r="I94" s="23"/>
      <c r="J94" s="63" t="s">
        <v>1641</v>
      </c>
      <c r="K94" s="63" t="s">
        <v>1641</v>
      </c>
      <c r="L94" s="62" t="e">
        <f t="shared" si="5"/>
        <v>#VALUE!</v>
      </c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7"/>
      <c r="AI94" s="36"/>
      <c r="AJ94" s="36"/>
      <c r="AK94" s="36"/>
      <c r="AL94" s="36"/>
      <c r="AM94" s="36"/>
      <c r="AN94" s="36"/>
    </row>
    <row r="95" spans="1:40" ht="15.75" thickBot="1" x14ac:dyDescent="0.3">
      <c r="A95" t="s">
        <v>51</v>
      </c>
      <c r="B95" t="s">
        <v>101</v>
      </c>
      <c r="C95" t="s">
        <v>1039</v>
      </c>
      <c r="D95" t="s">
        <v>102</v>
      </c>
      <c r="E95" s="23" t="s">
        <v>18</v>
      </c>
      <c r="F95" s="23" t="s">
        <v>1267</v>
      </c>
      <c r="G95" s="23"/>
      <c r="H95" s="23" t="s">
        <v>629</v>
      </c>
      <c r="I95" s="23"/>
      <c r="J95" s="63" t="s">
        <v>1642</v>
      </c>
      <c r="K95" s="63" t="s">
        <v>1642</v>
      </c>
      <c r="L95" s="24" t="e">
        <f t="shared" si="5"/>
        <v>#VALUE!</v>
      </c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</row>
    <row r="96" spans="1:40" s="39" customFormat="1" ht="15.75" thickBot="1" x14ac:dyDescent="0.3">
      <c r="A96" s="39" t="s">
        <v>51</v>
      </c>
      <c r="B96" t="s">
        <v>103</v>
      </c>
      <c r="C96" t="s">
        <v>1039</v>
      </c>
      <c r="D96" t="s">
        <v>1054</v>
      </c>
      <c r="E96" s="23" t="s">
        <v>18</v>
      </c>
      <c r="F96" s="23" t="s">
        <v>27</v>
      </c>
      <c r="G96" s="23"/>
      <c r="H96" s="23" t="s">
        <v>2293</v>
      </c>
      <c r="I96" s="23"/>
      <c r="J96" s="63" t="s">
        <v>2294</v>
      </c>
      <c r="K96" s="63" t="s">
        <v>2294</v>
      </c>
      <c r="L96" s="62" t="e">
        <f t="shared" si="5"/>
        <v>#VALUE!</v>
      </c>
      <c r="M96" s="36" t="s">
        <v>2188</v>
      </c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</row>
    <row r="97" spans="1:40" s="39" customFormat="1" ht="15.75" thickBot="1" x14ac:dyDescent="0.3">
      <c r="A97" s="39" t="s">
        <v>51</v>
      </c>
      <c r="B97" t="s">
        <v>104</v>
      </c>
      <c r="C97" t="s">
        <v>1039</v>
      </c>
      <c r="D97" t="s">
        <v>1055</v>
      </c>
      <c r="E97" s="23" t="s">
        <v>18</v>
      </c>
      <c r="F97" s="23" t="s">
        <v>27</v>
      </c>
      <c r="G97" s="23"/>
      <c r="H97" s="23" t="s">
        <v>1416</v>
      </c>
      <c r="I97" s="23"/>
      <c r="J97" s="63" t="s">
        <v>1643</v>
      </c>
      <c r="K97" s="63" t="s">
        <v>1643</v>
      </c>
      <c r="L97" s="62" t="e">
        <f t="shared" si="5"/>
        <v>#VALUE!</v>
      </c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</row>
    <row r="98" spans="1:40" s="39" customFormat="1" ht="15.75" thickBot="1" x14ac:dyDescent="0.3">
      <c r="A98" s="39" t="s">
        <v>51</v>
      </c>
      <c r="B98" t="s">
        <v>105</v>
      </c>
      <c r="C98" t="s">
        <v>1039</v>
      </c>
      <c r="D98" t="s">
        <v>106</v>
      </c>
      <c r="E98" s="23" t="s">
        <v>18</v>
      </c>
      <c r="F98" s="23" t="s">
        <v>27</v>
      </c>
      <c r="G98" s="23"/>
      <c r="H98" s="23" t="s">
        <v>630</v>
      </c>
      <c r="I98" s="23"/>
      <c r="J98" s="63" t="s">
        <v>1644</v>
      </c>
      <c r="K98" s="63" t="s">
        <v>1644</v>
      </c>
      <c r="L98" s="62" t="e">
        <f t="shared" si="5"/>
        <v>#VALUE!</v>
      </c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</row>
    <row r="99" spans="1:40" s="39" customFormat="1" ht="15.75" thickBot="1" x14ac:dyDescent="0.3">
      <c r="A99" s="39" t="s">
        <v>51</v>
      </c>
      <c r="B99" t="s">
        <v>107</v>
      </c>
      <c r="C99" t="s">
        <v>1039</v>
      </c>
      <c r="D99" t="s">
        <v>108</v>
      </c>
      <c r="E99" s="23" t="s">
        <v>18</v>
      </c>
      <c r="F99" s="23" t="s">
        <v>27</v>
      </c>
      <c r="G99" s="23"/>
      <c r="H99" s="23" t="s">
        <v>631</v>
      </c>
      <c r="I99" s="23"/>
      <c r="J99" s="63" t="s">
        <v>1645</v>
      </c>
      <c r="K99" s="63" t="s">
        <v>1645</v>
      </c>
      <c r="L99" s="62" t="e">
        <f t="shared" si="5"/>
        <v>#VALUE!</v>
      </c>
      <c r="M99" s="36" t="s">
        <v>2188</v>
      </c>
      <c r="N99" s="36" t="s">
        <v>2188</v>
      </c>
      <c r="O99" s="36" t="s">
        <v>2188</v>
      </c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</row>
    <row r="100" spans="1:40" s="39" customFormat="1" ht="15.75" thickBot="1" x14ac:dyDescent="0.3">
      <c r="A100" s="39" t="s">
        <v>51</v>
      </c>
      <c r="B100" t="s">
        <v>109</v>
      </c>
      <c r="C100" t="s">
        <v>1039</v>
      </c>
      <c r="D100" t="s">
        <v>110</v>
      </c>
      <c r="E100" s="23" t="s">
        <v>18</v>
      </c>
      <c r="F100" s="23" t="s">
        <v>27</v>
      </c>
      <c r="G100" s="23"/>
      <c r="H100" s="23" t="s">
        <v>632</v>
      </c>
      <c r="I100" s="23"/>
      <c r="J100" s="63" t="s">
        <v>1646</v>
      </c>
      <c r="K100" s="63" t="s">
        <v>1646</v>
      </c>
      <c r="L100" s="62" t="e">
        <f t="shared" si="5"/>
        <v>#VALUE!</v>
      </c>
      <c r="M100" s="36" t="s">
        <v>2188</v>
      </c>
      <c r="N100" s="36" t="s">
        <v>2188</v>
      </c>
      <c r="O100" s="36" t="s">
        <v>2188</v>
      </c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</row>
    <row r="101" spans="1:40" s="39" customFormat="1" ht="15.75" thickBot="1" x14ac:dyDescent="0.3">
      <c r="A101" s="39" t="s">
        <v>51</v>
      </c>
      <c r="B101" t="s">
        <v>111</v>
      </c>
      <c r="C101" t="s">
        <v>1039</v>
      </c>
      <c r="D101" t="s">
        <v>112</v>
      </c>
      <c r="E101" s="23" t="s">
        <v>18</v>
      </c>
      <c r="F101" s="23" t="s">
        <v>27</v>
      </c>
      <c r="G101" s="23"/>
      <c r="H101" s="23" t="s">
        <v>633</v>
      </c>
      <c r="I101" s="23"/>
      <c r="J101" s="63" t="s">
        <v>1647</v>
      </c>
      <c r="K101" s="63" t="s">
        <v>1647</v>
      </c>
      <c r="L101" s="62" t="e">
        <f t="shared" si="5"/>
        <v>#VALUE!</v>
      </c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</row>
    <row r="102" spans="1:40" s="39" customFormat="1" ht="15.75" thickBot="1" x14ac:dyDescent="0.3">
      <c r="A102" s="39" t="s">
        <v>51</v>
      </c>
      <c r="B102" t="s">
        <v>113</v>
      </c>
      <c r="C102" t="s">
        <v>1039</v>
      </c>
      <c r="D102" t="s">
        <v>1056</v>
      </c>
      <c r="E102" s="23" t="s">
        <v>18</v>
      </c>
      <c r="F102" s="23" t="s">
        <v>27</v>
      </c>
      <c r="G102" s="23"/>
      <c r="H102" s="23" t="s">
        <v>634</v>
      </c>
      <c r="I102" s="23"/>
      <c r="J102" s="63" t="s">
        <v>1648</v>
      </c>
      <c r="K102" s="63" t="s">
        <v>1648</v>
      </c>
      <c r="L102" s="62" t="e">
        <f t="shared" si="5"/>
        <v>#VALUE!</v>
      </c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</row>
    <row r="103" spans="1:40" s="39" customFormat="1" ht="15.75" thickBot="1" x14ac:dyDescent="0.3">
      <c r="A103" s="39" t="s">
        <v>51</v>
      </c>
      <c r="B103" t="s">
        <v>114</v>
      </c>
      <c r="C103" t="s">
        <v>1039</v>
      </c>
      <c r="D103" t="s">
        <v>115</v>
      </c>
      <c r="E103" s="23" t="s">
        <v>18</v>
      </c>
      <c r="F103" s="23" t="s">
        <v>27</v>
      </c>
      <c r="G103" s="23"/>
      <c r="H103" s="23" t="s">
        <v>635</v>
      </c>
      <c r="I103" s="23"/>
      <c r="J103" s="63" t="s">
        <v>1649</v>
      </c>
      <c r="K103" s="63" t="s">
        <v>1649</v>
      </c>
      <c r="L103" s="62" t="e">
        <f t="shared" si="5"/>
        <v>#VALUE!</v>
      </c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</row>
    <row r="104" spans="1:40" ht="15.75" thickBot="1" x14ac:dyDescent="0.3">
      <c r="A104" t="s">
        <v>51</v>
      </c>
      <c r="B104" t="s">
        <v>116</v>
      </c>
      <c r="C104" t="s">
        <v>1039</v>
      </c>
      <c r="D104" t="s">
        <v>1042</v>
      </c>
      <c r="E104" s="23" t="s">
        <v>18</v>
      </c>
      <c r="F104" s="23" t="s">
        <v>27</v>
      </c>
      <c r="G104" s="23"/>
      <c r="H104" s="23" t="s">
        <v>636</v>
      </c>
      <c r="I104" s="23"/>
      <c r="J104" s="63" t="s">
        <v>1650</v>
      </c>
      <c r="K104" s="63" t="s">
        <v>1650</v>
      </c>
      <c r="L104" s="24" t="e">
        <f t="shared" si="5"/>
        <v>#VALUE!</v>
      </c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</row>
    <row r="105" spans="1:40" s="39" customFormat="1" ht="15.75" thickBot="1" x14ac:dyDescent="0.3">
      <c r="A105" s="39" t="s">
        <v>51</v>
      </c>
      <c r="B105" t="s">
        <v>117</v>
      </c>
      <c r="C105" t="s">
        <v>1039</v>
      </c>
      <c r="D105" t="s">
        <v>1043</v>
      </c>
      <c r="E105" s="23" t="s">
        <v>18</v>
      </c>
      <c r="F105" s="23" t="s">
        <v>27</v>
      </c>
      <c r="G105" s="23"/>
      <c r="H105" s="23" t="s">
        <v>637</v>
      </c>
      <c r="I105" s="23"/>
      <c r="J105" s="63" t="s">
        <v>1651</v>
      </c>
      <c r="K105" s="63" t="s">
        <v>1651</v>
      </c>
      <c r="L105" s="62" t="e">
        <f t="shared" si="5"/>
        <v>#VALUE!</v>
      </c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</row>
    <row r="106" spans="1:40" ht="15.75" thickBot="1" x14ac:dyDescent="0.3">
      <c r="A106" t="s">
        <v>51</v>
      </c>
      <c r="B106" t="s">
        <v>118</v>
      </c>
      <c r="C106" t="s">
        <v>1039</v>
      </c>
      <c r="D106" t="s">
        <v>1044</v>
      </c>
      <c r="E106" s="23" t="s">
        <v>18</v>
      </c>
      <c r="F106" s="23" t="s">
        <v>1267</v>
      </c>
      <c r="G106" s="23"/>
      <c r="H106" s="23" t="s">
        <v>638</v>
      </c>
      <c r="I106" s="23"/>
      <c r="J106" s="63" t="s">
        <v>1652</v>
      </c>
      <c r="K106" s="63" t="s">
        <v>1652</v>
      </c>
      <c r="L106" s="24" t="e">
        <f t="shared" si="5"/>
        <v>#VALUE!</v>
      </c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</row>
    <row r="107" spans="1:40" s="39" customFormat="1" ht="15.75" thickBot="1" x14ac:dyDescent="0.3">
      <c r="A107" s="39" t="s">
        <v>51</v>
      </c>
      <c r="B107" t="s">
        <v>120</v>
      </c>
      <c r="C107" t="s">
        <v>1039</v>
      </c>
      <c r="D107" t="s">
        <v>121</v>
      </c>
      <c r="E107" s="23" t="s">
        <v>18</v>
      </c>
      <c r="F107" s="23" t="s">
        <v>27</v>
      </c>
      <c r="G107" s="23"/>
      <c r="H107" s="23" t="s">
        <v>640</v>
      </c>
      <c r="I107" s="23"/>
      <c r="J107" s="63" t="s">
        <v>1654</v>
      </c>
      <c r="K107" s="63" t="s">
        <v>1654</v>
      </c>
      <c r="L107" s="62" t="e">
        <f t="shared" si="5"/>
        <v>#VALUE!</v>
      </c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</row>
    <row r="108" spans="1:40" ht="15.75" thickBot="1" x14ac:dyDescent="0.3">
      <c r="A108" t="s">
        <v>51</v>
      </c>
      <c r="B108" t="s">
        <v>122</v>
      </c>
      <c r="C108" t="s">
        <v>1039</v>
      </c>
      <c r="D108" t="s">
        <v>123</v>
      </c>
      <c r="E108" s="23" t="s">
        <v>18</v>
      </c>
      <c r="F108" s="23" t="s">
        <v>27</v>
      </c>
      <c r="G108" s="23"/>
      <c r="H108" s="23" t="s">
        <v>641</v>
      </c>
      <c r="I108" s="23"/>
      <c r="J108" s="63" t="s">
        <v>1655</v>
      </c>
      <c r="K108" s="63" t="s">
        <v>1655</v>
      </c>
      <c r="L108" s="24" t="e">
        <f t="shared" si="5"/>
        <v>#VALUE!</v>
      </c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</row>
    <row r="109" spans="1:40" ht="15.75" thickBot="1" x14ac:dyDescent="0.3">
      <c r="A109" t="s">
        <v>51</v>
      </c>
      <c r="B109" t="s">
        <v>124</v>
      </c>
      <c r="C109" t="s">
        <v>1039</v>
      </c>
      <c r="D109" t="s">
        <v>125</v>
      </c>
      <c r="E109" s="23" t="s">
        <v>18</v>
      </c>
      <c r="F109" s="23" t="s">
        <v>27</v>
      </c>
      <c r="G109" s="23"/>
      <c r="H109" s="23" t="s">
        <v>642</v>
      </c>
      <c r="I109" s="23"/>
      <c r="J109" s="63" t="s">
        <v>1656</v>
      </c>
      <c r="K109" s="63" t="s">
        <v>1656</v>
      </c>
      <c r="L109" s="24" t="e">
        <f t="shared" si="5"/>
        <v>#VALUE!</v>
      </c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</row>
    <row r="110" spans="1:40" ht="15.75" thickBot="1" x14ac:dyDescent="0.3">
      <c r="A110" t="s">
        <v>51</v>
      </c>
      <c r="B110" t="s">
        <v>126</v>
      </c>
      <c r="C110" t="s">
        <v>1039</v>
      </c>
      <c r="D110" t="s">
        <v>127</v>
      </c>
      <c r="E110" s="23" t="s">
        <v>18</v>
      </c>
      <c r="F110" s="23" t="s">
        <v>27</v>
      </c>
      <c r="G110" s="23"/>
      <c r="H110" s="23" t="s">
        <v>643</v>
      </c>
      <c r="I110" s="23"/>
      <c r="J110" s="63" t="s">
        <v>1657</v>
      </c>
      <c r="K110" s="63" t="s">
        <v>1657</v>
      </c>
      <c r="L110" s="24" t="e">
        <f t="shared" si="5"/>
        <v>#VALUE!</v>
      </c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</row>
    <row r="111" spans="1:40" s="39" customFormat="1" ht="15.75" thickBot="1" x14ac:dyDescent="0.3">
      <c r="A111" s="39" t="s">
        <v>51</v>
      </c>
      <c r="B111" s="39" t="s">
        <v>128</v>
      </c>
      <c r="C111" s="39" t="s">
        <v>1039</v>
      </c>
      <c r="D111" s="39" t="s">
        <v>1457</v>
      </c>
      <c r="E111" s="67" t="s">
        <v>18</v>
      </c>
      <c r="F111" s="67" t="s">
        <v>1267</v>
      </c>
      <c r="G111" s="67"/>
      <c r="H111" s="67" t="s">
        <v>644</v>
      </c>
      <c r="I111" s="67"/>
      <c r="J111" s="63" t="s">
        <v>1658</v>
      </c>
      <c r="K111" s="63" t="s">
        <v>1658</v>
      </c>
      <c r="L111" s="62" t="e">
        <f t="shared" si="5"/>
        <v>#VALUE!</v>
      </c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</row>
    <row r="112" spans="1:40" s="39" customFormat="1" ht="15.75" thickBot="1" x14ac:dyDescent="0.3">
      <c r="A112" s="39" t="s">
        <v>51</v>
      </c>
      <c r="B112" t="s">
        <v>129</v>
      </c>
      <c r="C112" t="s">
        <v>1039</v>
      </c>
      <c r="D112" t="s">
        <v>130</v>
      </c>
      <c r="E112" s="23" t="s">
        <v>18</v>
      </c>
      <c r="F112" s="23" t="s">
        <v>27</v>
      </c>
      <c r="G112" s="23"/>
      <c r="H112" s="23" t="s">
        <v>645</v>
      </c>
      <c r="I112" s="23"/>
      <c r="J112" s="63" t="s">
        <v>1659</v>
      </c>
      <c r="K112" s="63" t="s">
        <v>1659</v>
      </c>
      <c r="L112" s="62" t="e">
        <f t="shared" si="5"/>
        <v>#VALUE!</v>
      </c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</row>
    <row r="113" spans="1:40" s="39" customFormat="1" ht="15.75" thickBot="1" x14ac:dyDescent="0.3">
      <c r="A113" s="39" t="s">
        <v>51</v>
      </c>
      <c r="B113" t="s">
        <v>131</v>
      </c>
      <c r="C113" t="s">
        <v>1039</v>
      </c>
      <c r="D113" t="s">
        <v>132</v>
      </c>
      <c r="E113" s="23" t="s">
        <v>18</v>
      </c>
      <c r="F113" s="23" t="s">
        <v>27</v>
      </c>
      <c r="G113" s="23"/>
      <c r="H113" s="23" t="s">
        <v>646</v>
      </c>
      <c r="I113" s="23"/>
      <c r="J113" s="63" t="s">
        <v>1660</v>
      </c>
      <c r="K113" s="63" t="s">
        <v>1660</v>
      </c>
      <c r="L113" s="62" t="e">
        <f t="shared" si="5"/>
        <v>#VALUE!</v>
      </c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</row>
    <row r="114" spans="1:40" s="39" customFormat="1" ht="15.75" thickBot="1" x14ac:dyDescent="0.3">
      <c r="A114" s="39" t="s">
        <v>51</v>
      </c>
      <c r="B114" t="s">
        <v>1417</v>
      </c>
      <c r="C114" t="s">
        <v>1039</v>
      </c>
      <c r="D114" t="s">
        <v>57</v>
      </c>
      <c r="E114" s="23" t="s">
        <v>71</v>
      </c>
      <c r="F114" s="23" t="s">
        <v>27</v>
      </c>
      <c r="G114" s="23"/>
      <c r="H114" s="23" t="s">
        <v>647</v>
      </c>
      <c r="I114" s="23"/>
      <c r="J114" s="63" t="s">
        <v>1661</v>
      </c>
      <c r="K114" s="63" t="s">
        <v>1661</v>
      </c>
      <c r="L114" s="62" t="e">
        <f t="shared" si="5"/>
        <v>#VALUE!</v>
      </c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</row>
    <row r="115" spans="1:40" ht="15.75" thickBot="1" x14ac:dyDescent="0.3">
      <c r="A115" t="s">
        <v>51</v>
      </c>
      <c r="B115" t="s">
        <v>1418</v>
      </c>
      <c r="C115" t="s">
        <v>1039</v>
      </c>
      <c r="D115" t="s">
        <v>57</v>
      </c>
      <c r="E115" s="23" t="s">
        <v>71</v>
      </c>
      <c r="F115" s="23" t="s">
        <v>27</v>
      </c>
      <c r="G115" s="23"/>
      <c r="H115" s="23" t="s">
        <v>648</v>
      </c>
      <c r="I115" s="23"/>
      <c r="J115" s="63" t="s">
        <v>1662</v>
      </c>
      <c r="K115" s="63" t="s">
        <v>1662</v>
      </c>
      <c r="L115" s="24" t="e">
        <f t="shared" si="5"/>
        <v>#VALUE!</v>
      </c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spans="1:40" ht="15.75" thickBot="1" x14ac:dyDescent="0.3">
      <c r="A116" t="s">
        <v>51</v>
      </c>
      <c r="B116" t="s">
        <v>133</v>
      </c>
      <c r="C116" t="s">
        <v>1039</v>
      </c>
      <c r="D116" t="s">
        <v>134</v>
      </c>
      <c r="E116" s="23" t="s">
        <v>18</v>
      </c>
      <c r="F116" s="23" t="s">
        <v>27</v>
      </c>
      <c r="G116" s="23"/>
      <c r="H116" s="23" t="s">
        <v>649</v>
      </c>
      <c r="I116" s="23"/>
      <c r="J116" s="63" t="s">
        <v>1663</v>
      </c>
      <c r="K116" s="63" t="s">
        <v>1663</v>
      </c>
      <c r="L116" s="24" t="e">
        <f t="shared" si="5"/>
        <v>#VALUE!</v>
      </c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spans="1:40" s="39" customFormat="1" ht="15.75" thickBot="1" x14ac:dyDescent="0.3">
      <c r="A117" s="39" t="s">
        <v>51</v>
      </c>
      <c r="B117" s="39" t="s">
        <v>135</v>
      </c>
      <c r="C117" s="39" t="s">
        <v>1039</v>
      </c>
      <c r="D117" s="39" t="s">
        <v>136</v>
      </c>
      <c r="E117" s="67" t="s">
        <v>18</v>
      </c>
      <c r="F117" s="67" t="s">
        <v>1267</v>
      </c>
      <c r="G117" s="67"/>
      <c r="H117" s="67" t="s">
        <v>1379</v>
      </c>
      <c r="I117" s="67"/>
      <c r="J117" s="63" t="s">
        <v>1664</v>
      </c>
      <c r="K117" s="63" t="s">
        <v>1664</v>
      </c>
      <c r="L117" s="62" t="e">
        <f t="shared" si="5"/>
        <v>#VALUE!</v>
      </c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spans="1:40" ht="13.9" customHeight="1" thickBot="1" x14ac:dyDescent="0.3">
      <c r="A118" t="s">
        <v>51</v>
      </c>
      <c r="B118" t="s">
        <v>137</v>
      </c>
      <c r="C118" t="s">
        <v>1039</v>
      </c>
      <c r="D118" t="s">
        <v>138</v>
      </c>
      <c r="E118" s="23" t="s">
        <v>18</v>
      </c>
      <c r="F118" s="23" t="s">
        <v>27</v>
      </c>
      <c r="G118" s="23"/>
      <c r="H118" s="23" t="s">
        <v>1411</v>
      </c>
      <c r="I118" s="23"/>
      <c r="J118" s="63" t="s">
        <v>1665</v>
      </c>
      <c r="K118" s="63" t="s">
        <v>1665</v>
      </c>
      <c r="L118" s="24" t="e">
        <f t="shared" si="5"/>
        <v>#VALUE!</v>
      </c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</row>
    <row r="119" spans="1:40" ht="15.75" thickBot="1" x14ac:dyDescent="0.3">
      <c r="A119" t="s">
        <v>51</v>
      </c>
      <c r="B119" s="39" t="s">
        <v>140</v>
      </c>
      <c r="C119" s="39" t="s">
        <v>1039</v>
      </c>
      <c r="D119" s="39" t="s">
        <v>141</v>
      </c>
      <c r="E119" s="67" t="s">
        <v>15</v>
      </c>
      <c r="F119" s="67" t="s">
        <v>1267</v>
      </c>
      <c r="G119" s="67"/>
      <c r="H119" s="67" t="s">
        <v>1387</v>
      </c>
      <c r="I119" s="67"/>
      <c r="J119" s="63" t="s">
        <v>1668</v>
      </c>
      <c r="K119" s="63" t="s">
        <v>1668</v>
      </c>
      <c r="L119" s="24" t="e">
        <f t="shared" si="5"/>
        <v>#VALUE!</v>
      </c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</row>
    <row r="120" spans="1:40" ht="15.75" thickBot="1" x14ac:dyDescent="0.3">
      <c r="A120" t="s">
        <v>51</v>
      </c>
      <c r="B120" s="39" t="s">
        <v>913</v>
      </c>
      <c r="C120" s="39" t="s">
        <v>1039</v>
      </c>
      <c r="D120" s="39" t="s">
        <v>58</v>
      </c>
      <c r="E120" s="67" t="s">
        <v>15</v>
      </c>
      <c r="F120" s="67" t="s">
        <v>1267</v>
      </c>
      <c r="G120" s="67"/>
      <c r="H120" s="67" t="s">
        <v>1330</v>
      </c>
      <c r="I120" s="67"/>
      <c r="J120" s="63" t="s">
        <v>1675</v>
      </c>
      <c r="K120" s="63" t="s">
        <v>1675</v>
      </c>
      <c r="L120" s="24" t="e">
        <f t="shared" si="5"/>
        <v>#VALUE!</v>
      </c>
      <c r="M120" s="36"/>
      <c r="N120" s="36"/>
      <c r="O120" s="36"/>
      <c r="P120" s="36"/>
      <c r="Q120" s="36"/>
      <c r="R120" s="36"/>
      <c r="S120" s="36"/>
      <c r="T120" s="36"/>
      <c r="U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</row>
    <row r="121" spans="1:40" s="39" customFormat="1" ht="15.75" thickBot="1" x14ac:dyDescent="0.3">
      <c r="A121" s="39" t="s">
        <v>51</v>
      </c>
      <c r="B121" t="s">
        <v>914</v>
      </c>
      <c r="C121" t="s">
        <v>1039</v>
      </c>
      <c r="D121" t="s">
        <v>1057</v>
      </c>
      <c r="E121" s="23" t="s">
        <v>15</v>
      </c>
      <c r="F121" s="23" t="s">
        <v>1033</v>
      </c>
      <c r="G121" s="23" t="s">
        <v>1220</v>
      </c>
      <c r="H121" s="23" t="s">
        <v>653</v>
      </c>
      <c r="I121" s="23"/>
      <c r="J121" s="63" t="s">
        <v>1678</v>
      </c>
      <c r="K121" s="63" t="s">
        <v>1678</v>
      </c>
      <c r="L121" s="62" t="e">
        <f t="shared" si="5"/>
        <v>#VALUE!</v>
      </c>
      <c r="M121" s="36"/>
      <c r="N121" s="36"/>
      <c r="O121" s="36"/>
      <c r="P121" s="36" t="s">
        <v>2188</v>
      </c>
      <c r="Q121" s="36" t="s">
        <v>2188</v>
      </c>
      <c r="R121" s="36"/>
      <c r="S121" s="36"/>
      <c r="T121" s="36"/>
      <c r="U121" s="36"/>
      <c r="V121" s="36" t="s">
        <v>2188</v>
      </c>
      <c r="W121" s="36" t="s">
        <v>2188</v>
      </c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</row>
    <row r="122" spans="1:40" ht="15.75" thickBot="1" x14ac:dyDescent="0.3">
      <c r="A122" t="s">
        <v>51</v>
      </c>
      <c r="B122" t="s">
        <v>915</v>
      </c>
      <c r="C122" t="s">
        <v>1039</v>
      </c>
      <c r="D122" t="s">
        <v>63</v>
      </c>
      <c r="E122" s="23" t="s">
        <v>15</v>
      </c>
      <c r="F122" s="23" t="s">
        <v>1267</v>
      </c>
      <c r="G122" s="23"/>
      <c r="H122" s="23" t="s">
        <v>654</v>
      </c>
      <c r="I122" s="23"/>
      <c r="J122" s="63" t="s">
        <v>1679</v>
      </c>
      <c r="K122" s="63" t="s">
        <v>1679</v>
      </c>
      <c r="L122" s="24" t="e">
        <f t="shared" si="5"/>
        <v>#VALUE!</v>
      </c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</row>
    <row r="123" spans="1:40" ht="15.75" thickBot="1" x14ac:dyDescent="0.3">
      <c r="A123" t="s">
        <v>51</v>
      </c>
      <c r="B123" t="s">
        <v>142</v>
      </c>
      <c r="C123" t="s">
        <v>1039</v>
      </c>
      <c r="D123" t="s">
        <v>143</v>
      </c>
      <c r="E123" s="23" t="s">
        <v>45</v>
      </c>
      <c r="F123" s="23" t="s">
        <v>27</v>
      </c>
      <c r="G123" s="23"/>
      <c r="H123" s="23" t="s">
        <v>655</v>
      </c>
      <c r="I123" s="23"/>
      <c r="J123" s="63" t="s">
        <v>1680</v>
      </c>
      <c r="K123" s="63" t="s">
        <v>1680</v>
      </c>
      <c r="L123" s="24" t="e">
        <f t="shared" si="5"/>
        <v>#VALUE!</v>
      </c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</row>
    <row r="124" spans="1:40" ht="15.75" thickBot="1" x14ac:dyDescent="0.3">
      <c r="A124" t="s">
        <v>51</v>
      </c>
      <c r="B124" s="39" t="s">
        <v>145</v>
      </c>
      <c r="C124" s="39" t="s">
        <v>1039</v>
      </c>
      <c r="D124" s="39" t="s">
        <v>144</v>
      </c>
      <c r="E124" s="67" t="s">
        <v>45</v>
      </c>
      <c r="F124" s="67" t="s">
        <v>1267</v>
      </c>
      <c r="G124" s="67"/>
      <c r="H124" s="67" t="s">
        <v>656</v>
      </c>
      <c r="I124" s="67"/>
      <c r="J124" s="63" t="s">
        <v>1681</v>
      </c>
      <c r="K124" s="63" t="s">
        <v>1681</v>
      </c>
      <c r="L124" s="24" t="e">
        <f t="shared" si="5"/>
        <v>#VALUE!</v>
      </c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</row>
    <row r="125" spans="1:40" ht="15.75" thickBot="1" x14ac:dyDescent="0.3">
      <c r="A125" t="s">
        <v>51</v>
      </c>
      <c r="B125" s="39" t="s">
        <v>146</v>
      </c>
      <c r="C125" s="39" t="s">
        <v>1039</v>
      </c>
      <c r="D125" s="39" t="s">
        <v>147</v>
      </c>
      <c r="E125" s="67" t="s">
        <v>71</v>
      </c>
      <c r="F125" s="67" t="s">
        <v>1267</v>
      </c>
      <c r="G125" s="67"/>
      <c r="H125" s="67" t="s">
        <v>660</v>
      </c>
      <c r="I125" s="67"/>
      <c r="J125" s="63" t="s">
        <v>1683</v>
      </c>
      <c r="K125" s="63" t="s">
        <v>1683</v>
      </c>
      <c r="L125" s="24" t="e">
        <f t="shared" si="5"/>
        <v>#VALUE!</v>
      </c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</row>
    <row r="126" spans="1:40" ht="15.75" thickBot="1" x14ac:dyDescent="0.3">
      <c r="A126" t="s">
        <v>51</v>
      </c>
      <c r="B126" s="39" t="s">
        <v>148</v>
      </c>
      <c r="C126" s="39" t="s">
        <v>1039</v>
      </c>
      <c r="D126" s="39" t="s">
        <v>147</v>
      </c>
      <c r="E126" s="67" t="s">
        <v>71</v>
      </c>
      <c r="F126" s="67" t="s">
        <v>1267</v>
      </c>
      <c r="G126" s="67"/>
      <c r="H126" s="67" t="s">
        <v>661</v>
      </c>
      <c r="I126" s="67"/>
      <c r="J126" s="63" t="s">
        <v>1682</v>
      </c>
      <c r="K126" s="63" t="s">
        <v>1682</v>
      </c>
      <c r="L126" s="24" t="e">
        <f t="shared" si="5"/>
        <v>#VALUE!</v>
      </c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</row>
    <row r="127" spans="1:40" ht="15.75" thickBot="1" x14ac:dyDescent="0.3">
      <c r="A127" t="s">
        <v>51</v>
      </c>
      <c r="B127" t="s">
        <v>149</v>
      </c>
      <c r="C127" t="s">
        <v>1039</v>
      </c>
      <c r="D127" t="s">
        <v>150</v>
      </c>
      <c r="E127" s="23" t="s">
        <v>15</v>
      </c>
      <c r="F127" s="23" t="s">
        <v>27</v>
      </c>
      <c r="G127" s="23"/>
      <c r="H127" s="23" t="s">
        <v>662</v>
      </c>
      <c r="I127" s="23"/>
      <c r="J127" s="63" t="s">
        <v>1684</v>
      </c>
      <c r="K127" s="63" t="s">
        <v>1684</v>
      </c>
      <c r="L127" s="24" t="e">
        <f t="shared" si="5"/>
        <v>#VALUE!</v>
      </c>
      <c r="M127" s="36"/>
      <c r="N127" s="36"/>
      <c r="O127" s="36"/>
      <c r="P127" s="36" t="s">
        <v>2188</v>
      </c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</row>
    <row r="128" spans="1:40" s="39" customFormat="1" ht="15.75" thickBot="1" x14ac:dyDescent="0.3">
      <c r="A128" s="39" t="s">
        <v>51</v>
      </c>
      <c r="B128" t="s">
        <v>151</v>
      </c>
      <c r="C128" t="s">
        <v>1039</v>
      </c>
      <c r="D128" t="s">
        <v>152</v>
      </c>
      <c r="E128" s="23" t="s">
        <v>15</v>
      </c>
      <c r="F128" s="23" t="s">
        <v>1267</v>
      </c>
      <c r="G128" s="23"/>
      <c r="H128" s="23" t="s">
        <v>666</v>
      </c>
      <c r="I128" s="23"/>
      <c r="J128" s="63" t="s">
        <v>1688</v>
      </c>
      <c r="K128" s="63" t="s">
        <v>1688</v>
      </c>
      <c r="L128" s="62" t="e">
        <f t="shared" si="5"/>
        <v>#VALUE!</v>
      </c>
      <c r="M128" s="36"/>
      <c r="N128" s="36"/>
      <c r="O128" s="36"/>
      <c r="P128" s="36"/>
      <c r="Q128" s="36" t="s">
        <v>2188</v>
      </c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</row>
    <row r="129" spans="1:40" s="39" customFormat="1" ht="15.75" thickBot="1" x14ac:dyDescent="0.3">
      <c r="A129" s="39" t="s">
        <v>51</v>
      </c>
      <c r="B129" t="s">
        <v>153</v>
      </c>
      <c r="C129" t="s">
        <v>1039</v>
      </c>
      <c r="D129" t="s">
        <v>154</v>
      </c>
      <c r="E129" s="23" t="s">
        <v>18</v>
      </c>
      <c r="F129" s="23" t="s">
        <v>2295</v>
      </c>
      <c r="G129" s="23"/>
      <c r="H129" s="23" t="s">
        <v>667</v>
      </c>
      <c r="I129" s="23"/>
      <c r="J129" s="63" t="s">
        <v>1689</v>
      </c>
      <c r="K129" s="63" t="s">
        <v>1689</v>
      </c>
      <c r="L129" s="62" t="e">
        <f t="shared" si="5"/>
        <v>#VALUE!</v>
      </c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</row>
    <row r="130" spans="1:40" s="39" customFormat="1" ht="15.75" thickBot="1" x14ac:dyDescent="0.3">
      <c r="A130" s="39" t="s">
        <v>51</v>
      </c>
      <c r="B130" s="67" t="s">
        <v>1165</v>
      </c>
      <c r="C130" s="67" t="s">
        <v>1039</v>
      </c>
      <c r="D130" s="39" t="s">
        <v>1166</v>
      </c>
      <c r="E130" s="67" t="s">
        <v>18</v>
      </c>
      <c r="F130" s="67" t="s">
        <v>1267</v>
      </c>
      <c r="G130" s="67"/>
      <c r="H130" s="67" t="s">
        <v>1167</v>
      </c>
      <c r="I130" s="67"/>
      <c r="J130" s="63" t="s">
        <v>1698</v>
      </c>
      <c r="K130" s="63" t="s">
        <v>1698</v>
      </c>
      <c r="L130" s="62" t="e">
        <f t="shared" si="5"/>
        <v>#VALUE!</v>
      </c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</row>
    <row r="131" spans="1:40" ht="15.75" thickBot="1" x14ac:dyDescent="0.3">
      <c r="A131" s="39" t="s">
        <v>51</v>
      </c>
      <c r="B131" s="67" t="s">
        <v>1283</v>
      </c>
      <c r="C131" s="67" t="s">
        <v>1039</v>
      </c>
      <c r="D131" s="39" t="s">
        <v>1284</v>
      </c>
      <c r="E131" s="67" t="s">
        <v>18</v>
      </c>
      <c r="F131" s="67" t="s">
        <v>1267</v>
      </c>
      <c r="G131" s="67"/>
      <c r="H131" s="67" t="s">
        <v>1285</v>
      </c>
      <c r="I131" s="67"/>
      <c r="J131" s="63" t="s">
        <v>1702</v>
      </c>
      <c r="K131" s="63" t="s">
        <v>1702</v>
      </c>
      <c r="L131" s="24" t="e">
        <f t="shared" si="5"/>
        <v>#VALUE!</v>
      </c>
      <c r="M131" s="36" t="s">
        <v>2188</v>
      </c>
      <c r="N131" s="36" t="s">
        <v>2188</v>
      </c>
      <c r="O131" s="36" t="s">
        <v>2188</v>
      </c>
      <c r="P131" s="36" t="s">
        <v>2188</v>
      </c>
      <c r="Q131" s="36"/>
      <c r="R131" s="36"/>
      <c r="S131" s="36"/>
      <c r="T131" s="36"/>
      <c r="U131" s="36" t="s">
        <v>2188</v>
      </c>
      <c r="V131" s="36" t="s">
        <v>2188</v>
      </c>
      <c r="W131" s="36" t="s">
        <v>2188</v>
      </c>
      <c r="X131" s="36" t="s">
        <v>2188</v>
      </c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</row>
    <row r="132" spans="1:40" ht="15.75" thickBot="1" x14ac:dyDescent="0.3">
      <c r="A132" t="s">
        <v>51</v>
      </c>
      <c r="B132" s="67" t="s">
        <v>1371</v>
      </c>
      <c r="C132" s="67" t="s">
        <v>1039</v>
      </c>
      <c r="D132" s="39" t="s">
        <v>1467</v>
      </c>
      <c r="E132" s="67" t="s">
        <v>18</v>
      </c>
      <c r="F132" s="67" t="s">
        <v>1267</v>
      </c>
      <c r="G132" s="67"/>
      <c r="H132" s="67" t="s">
        <v>1372</v>
      </c>
      <c r="I132" s="67"/>
      <c r="J132" s="63" t="s">
        <v>1703</v>
      </c>
      <c r="K132" s="63" t="s">
        <v>1703</v>
      </c>
      <c r="L132" s="24" t="e">
        <f t="shared" si="5"/>
        <v>#VALUE!</v>
      </c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</row>
    <row r="133" spans="1:40" s="39" customFormat="1" ht="15.75" thickBot="1" x14ac:dyDescent="0.3">
      <c r="A133" s="39" t="s">
        <v>51</v>
      </c>
      <c r="B133" s="67" t="s">
        <v>1444</v>
      </c>
      <c r="C133" s="67" t="s">
        <v>1039</v>
      </c>
      <c r="D133" s="39" t="s">
        <v>1445</v>
      </c>
      <c r="E133" s="67" t="s">
        <v>18</v>
      </c>
      <c r="F133" s="67" t="s">
        <v>1267</v>
      </c>
      <c r="G133" s="67"/>
      <c r="H133" s="67" t="s">
        <v>1449</v>
      </c>
      <c r="I133" s="67"/>
      <c r="J133" s="63" t="s">
        <v>1704</v>
      </c>
      <c r="K133" s="63" t="s">
        <v>1704</v>
      </c>
      <c r="L133" s="62" t="e">
        <f t="shared" si="5"/>
        <v>#VALUE!</v>
      </c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</row>
    <row r="134" spans="1:40" s="39" customFormat="1" ht="15.75" thickBot="1" x14ac:dyDescent="0.3">
      <c r="A134" s="39" t="s">
        <v>51</v>
      </c>
      <c r="B134" s="23" t="s">
        <v>1423</v>
      </c>
      <c r="C134" s="23" t="s">
        <v>1039</v>
      </c>
      <c r="D134" t="s">
        <v>1422</v>
      </c>
      <c r="E134" s="67" t="s">
        <v>71</v>
      </c>
      <c r="F134" s="67" t="s">
        <v>27</v>
      </c>
      <c r="G134" s="67"/>
      <c r="H134" s="67" t="s">
        <v>1424</v>
      </c>
      <c r="I134" s="67" t="s">
        <v>2275</v>
      </c>
      <c r="J134" s="63" t="s">
        <v>1705</v>
      </c>
      <c r="K134" s="63" t="s">
        <v>1705</v>
      </c>
      <c r="L134" s="62" t="e">
        <f t="shared" si="5"/>
        <v>#VALUE!</v>
      </c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</row>
    <row r="135" spans="1:40" s="39" customFormat="1" ht="18.75" customHeight="1" thickBot="1" x14ac:dyDescent="0.3">
      <c r="A135" s="39" t="s">
        <v>51</v>
      </c>
      <c r="B135" s="23" t="s">
        <v>1426</v>
      </c>
      <c r="C135" s="23" t="s">
        <v>1039</v>
      </c>
      <c r="D135" t="s">
        <v>1425</v>
      </c>
      <c r="E135" s="67" t="s">
        <v>18</v>
      </c>
      <c r="F135" s="67" t="s">
        <v>27</v>
      </c>
      <c r="G135" s="67"/>
      <c r="H135" s="67" t="s">
        <v>1427</v>
      </c>
      <c r="I135" s="67" t="s">
        <v>2275</v>
      </c>
      <c r="J135" s="63" t="s">
        <v>1706</v>
      </c>
      <c r="K135" s="63" t="s">
        <v>1706</v>
      </c>
      <c r="L135" s="62" t="e">
        <f t="shared" si="5"/>
        <v>#VALUE!</v>
      </c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</row>
    <row r="136" spans="1:40" ht="15.75" thickBot="1" x14ac:dyDescent="0.3">
      <c r="A136" t="s">
        <v>51</v>
      </c>
      <c r="B136" s="67" t="s">
        <v>1458</v>
      </c>
      <c r="C136" s="67" t="s">
        <v>1039</v>
      </c>
      <c r="D136" s="39" t="s">
        <v>1459</v>
      </c>
      <c r="E136" s="67" t="s">
        <v>18</v>
      </c>
      <c r="F136" s="67" t="s">
        <v>1267</v>
      </c>
      <c r="G136" s="67"/>
      <c r="H136" s="67" t="s">
        <v>1460</v>
      </c>
      <c r="I136" s="67"/>
      <c r="J136" s="63" t="s">
        <v>1707</v>
      </c>
      <c r="K136" s="63" t="s">
        <v>1707</v>
      </c>
      <c r="L136" s="62" t="e">
        <f t="shared" si="5"/>
        <v>#VALUE!</v>
      </c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</row>
    <row r="137" spans="1:40" ht="15.75" thickBot="1" x14ac:dyDescent="0.3">
      <c r="A137" t="s">
        <v>51</v>
      </c>
      <c r="B137" s="23" t="s">
        <v>1461</v>
      </c>
      <c r="C137" s="23" t="s">
        <v>1039</v>
      </c>
      <c r="D137" t="s">
        <v>1462</v>
      </c>
      <c r="E137" s="67" t="s">
        <v>18</v>
      </c>
      <c r="F137" s="67" t="s">
        <v>27</v>
      </c>
      <c r="G137" s="67"/>
      <c r="H137" s="67" t="s">
        <v>1463</v>
      </c>
      <c r="I137" s="67"/>
      <c r="J137" s="63" t="s">
        <v>1708</v>
      </c>
      <c r="K137" s="63" t="s">
        <v>1708</v>
      </c>
      <c r="L137" s="62" t="e">
        <f t="shared" si="5"/>
        <v>#VALUE!</v>
      </c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</row>
    <row r="138" spans="1:40" s="39" customFormat="1" ht="15.75" thickBot="1" x14ac:dyDescent="0.3">
      <c r="A138" s="39" t="s">
        <v>51</v>
      </c>
      <c r="B138" s="23" t="s">
        <v>1581</v>
      </c>
      <c r="C138" s="23" t="s">
        <v>1039</v>
      </c>
      <c r="D138" t="s">
        <v>1582</v>
      </c>
      <c r="E138" s="67" t="s">
        <v>18</v>
      </c>
      <c r="F138" s="67" t="s">
        <v>27</v>
      </c>
      <c r="G138" s="67"/>
      <c r="H138" s="67" t="s">
        <v>2048</v>
      </c>
      <c r="I138" s="67"/>
      <c r="J138" s="63" t="s">
        <v>2109</v>
      </c>
      <c r="K138" s="63" t="s">
        <v>2109</v>
      </c>
      <c r="L138" s="62" t="e">
        <f t="shared" si="5"/>
        <v>#VALUE!</v>
      </c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</row>
    <row r="139" spans="1:40" ht="15.75" thickBot="1" x14ac:dyDescent="0.3">
      <c r="A139" t="s">
        <v>51</v>
      </c>
      <c r="B139" s="67" t="s">
        <v>1499</v>
      </c>
      <c r="C139" s="67" t="s">
        <v>1039</v>
      </c>
      <c r="D139" s="39" t="s">
        <v>1501</v>
      </c>
      <c r="E139" s="67" t="s">
        <v>18</v>
      </c>
      <c r="F139" s="67" t="s">
        <v>27</v>
      </c>
      <c r="G139" s="67"/>
      <c r="H139" s="67" t="s">
        <v>1503</v>
      </c>
      <c r="I139" s="67"/>
      <c r="J139" s="63" t="s">
        <v>1709</v>
      </c>
      <c r="K139" s="63" t="s">
        <v>1709</v>
      </c>
      <c r="L139" s="62" t="e">
        <f t="shared" si="5"/>
        <v>#VALUE!</v>
      </c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</row>
    <row r="140" spans="1:40" ht="15.75" thickBot="1" x14ac:dyDescent="0.3">
      <c r="A140" t="s">
        <v>51</v>
      </c>
      <c r="B140" s="67" t="s">
        <v>1500</v>
      </c>
      <c r="C140" s="67" t="s">
        <v>1039</v>
      </c>
      <c r="D140" s="39" t="s">
        <v>1502</v>
      </c>
      <c r="E140" s="67" t="s">
        <v>18</v>
      </c>
      <c r="F140" s="67" t="s">
        <v>27</v>
      </c>
      <c r="G140" s="67"/>
      <c r="H140" s="67" t="s">
        <v>1504</v>
      </c>
      <c r="I140" s="67"/>
      <c r="J140" s="63" t="s">
        <v>1710</v>
      </c>
      <c r="K140" s="63" t="s">
        <v>1710</v>
      </c>
      <c r="L140" s="62" t="e">
        <f t="shared" si="5"/>
        <v>#VALUE!</v>
      </c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</row>
    <row r="141" spans="1:40" s="39" customFormat="1" ht="15.75" thickBot="1" x14ac:dyDescent="0.3">
      <c r="A141" s="39" t="s">
        <v>51</v>
      </c>
      <c r="B141" s="67" t="s">
        <v>2054</v>
      </c>
      <c r="C141" s="67" t="s">
        <v>1039</v>
      </c>
      <c r="D141" s="39" t="s">
        <v>2055</v>
      </c>
      <c r="E141" s="67" t="s">
        <v>18</v>
      </c>
      <c r="F141" s="67" t="s">
        <v>1267</v>
      </c>
      <c r="G141" s="67"/>
      <c r="H141" s="67" t="s">
        <v>2110</v>
      </c>
      <c r="I141" s="67"/>
      <c r="J141" s="63" t="s">
        <v>2111</v>
      </c>
      <c r="K141" s="63" t="s">
        <v>2111</v>
      </c>
      <c r="L141" s="62" t="e">
        <f t="shared" si="5"/>
        <v>#VALUE!</v>
      </c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</row>
    <row r="142" spans="1:40" s="39" customFormat="1" ht="15.75" thickBot="1" x14ac:dyDescent="0.3">
      <c r="A142" s="39" t="s">
        <v>51</v>
      </c>
      <c r="B142" s="67" t="s">
        <v>2134</v>
      </c>
      <c r="C142" s="67" t="s">
        <v>1039</v>
      </c>
      <c r="D142" s="39" t="s">
        <v>2135</v>
      </c>
      <c r="E142" s="67" t="s">
        <v>18</v>
      </c>
      <c r="F142" s="67" t="s">
        <v>1267</v>
      </c>
      <c r="G142" s="67"/>
      <c r="H142" s="67" t="s">
        <v>2234</v>
      </c>
      <c r="I142" s="67"/>
      <c r="J142" s="63" t="s">
        <v>2136</v>
      </c>
      <c r="K142" s="63" t="s">
        <v>2136</v>
      </c>
      <c r="L142" s="62" t="e">
        <f t="shared" si="5"/>
        <v>#VALUE!</v>
      </c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</row>
    <row r="143" spans="1:40" s="39" customFormat="1" ht="15.75" thickBot="1" x14ac:dyDescent="0.3">
      <c r="A143" s="39" t="s">
        <v>51</v>
      </c>
      <c r="B143" s="67" t="s">
        <v>2163</v>
      </c>
      <c r="C143" s="67" t="s">
        <v>1039</v>
      </c>
      <c r="D143" s="39" t="s">
        <v>2164</v>
      </c>
      <c r="E143" s="67" t="s">
        <v>18</v>
      </c>
      <c r="F143" s="23" t="s">
        <v>2295</v>
      </c>
      <c r="G143" s="67"/>
      <c r="H143" s="67" t="s">
        <v>2165</v>
      </c>
      <c r="I143" s="67"/>
      <c r="J143" s="63" t="s">
        <v>2166</v>
      </c>
      <c r="K143" s="63" t="s">
        <v>2166</v>
      </c>
      <c r="L143" s="62" t="e">
        <f t="shared" si="5"/>
        <v>#VALUE!</v>
      </c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</row>
    <row r="144" spans="1:40" s="39" customFormat="1" ht="15.75" thickBot="1" x14ac:dyDescent="0.3">
      <c r="A144" s="39" t="s">
        <v>51</v>
      </c>
      <c r="B144" t="s">
        <v>156</v>
      </c>
      <c r="C144" t="s">
        <v>1039</v>
      </c>
      <c r="D144" t="s">
        <v>157</v>
      </c>
      <c r="E144" s="23" t="s">
        <v>18</v>
      </c>
      <c r="F144" s="23" t="s">
        <v>1033</v>
      </c>
      <c r="G144" s="23"/>
      <c r="H144" s="23" t="s">
        <v>1362</v>
      </c>
      <c r="I144" s="23"/>
      <c r="J144" s="63" t="s">
        <v>1711</v>
      </c>
      <c r="K144" s="63" t="s">
        <v>1711</v>
      </c>
      <c r="L144" s="62" t="e">
        <f t="shared" si="5"/>
        <v>#VALUE!</v>
      </c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</row>
    <row r="145" spans="1:40" s="39" customFormat="1" ht="15.75" thickBot="1" x14ac:dyDescent="0.3">
      <c r="A145" s="39" t="s">
        <v>51</v>
      </c>
      <c r="B145" t="s">
        <v>159</v>
      </c>
      <c r="C145" t="s">
        <v>1039</v>
      </c>
      <c r="D145" t="s">
        <v>160</v>
      </c>
      <c r="E145" s="23" t="s">
        <v>18</v>
      </c>
      <c r="F145" s="23" t="s">
        <v>1033</v>
      </c>
      <c r="G145" s="23"/>
      <c r="H145" s="23" t="s">
        <v>668</v>
      </c>
      <c r="I145" s="23"/>
      <c r="J145" s="63"/>
      <c r="K145" s="63"/>
      <c r="L145" s="62" t="e">
        <f t="shared" si="5"/>
        <v>#DIV/0!</v>
      </c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</row>
    <row r="146" spans="1:40" s="39" customFormat="1" ht="15.75" thickBot="1" x14ac:dyDescent="0.3">
      <c r="A146" s="39" t="s">
        <v>51</v>
      </c>
      <c r="B146" t="s">
        <v>161</v>
      </c>
      <c r="C146" t="s">
        <v>1039</v>
      </c>
      <c r="D146" t="s">
        <v>162</v>
      </c>
      <c r="E146" s="23" t="s">
        <v>15</v>
      </c>
      <c r="F146" s="23" t="s">
        <v>27</v>
      </c>
      <c r="G146" s="23"/>
      <c r="H146" s="23" t="s">
        <v>669</v>
      </c>
      <c r="I146" s="23"/>
      <c r="J146" s="63" t="s">
        <v>1712</v>
      </c>
      <c r="K146" s="63" t="s">
        <v>1712</v>
      </c>
      <c r="L146" s="62" t="e">
        <f t="shared" si="5"/>
        <v>#VALUE!</v>
      </c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</row>
    <row r="147" spans="1:40" ht="15.75" thickBot="1" x14ac:dyDescent="0.3">
      <c r="A147" t="s">
        <v>155</v>
      </c>
      <c r="B147" t="s">
        <v>163</v>
      </c>
      <c r="C147" t="s">
        <v>1039</v>
      </c>
      <c r="D147" t="s">
        <v>164</v>
      </c>
      <c r="E147" s="23" t="s">
        <v>15</v>
      </c>
      <c r="F147" s="23" t="s">
        <v>27</v>
      </c>
      <c r="G147" s="23"/>
      <c r="H147" s="23" t="s">
        <v>670</v>
      </c>
      <c r="I147" s="23"/>
      <c r="J147" s="63" t="s">
        <v>1713</v>
      </c>
      <c r="K147" s="63" t="s">
        <v>1713</v>
      </c>
      <c r="L147" s="24" t="e">
        <f t="shared" si="5"/>
        <v>#VALUE!</v>
      </c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</row>
    <row r="148" spans="1:40" ht="15.75" thickBot="1" x14ac:dyDescent="0.3">
      <c r="A148" t="s">
        <v>158</v>
      </c>
      <c r="B148" t="s">
        <v>2296</v>
      </c>
      <c r="C148" t="s">
        <v>1040</v>
      </c>
      <c r="D148" t="s">
        <v>166</v>
      </c>
      <c r="E148" s="23" t="s">
        <v>18</v>
      </c>
      <c r="F148" s="23" t="s">
        <v>27</v>
      </c>
      <c r="G148" s="23"/>
      <c r="H148" s="23" t="s">
        <v>2126</v>
      </c>
      <c r="I148" s="23"/>
      <c r="J148" s="63" t="s">
        <v>1714</v>
      </c>
      <c r="K148" s="63" t="s">
        <v>1714</v>
      </c>
      <c r="L148" s="24" t="e">
        <f t="shared" si="5"/>
        <v>#VALUE!</v>
      </c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</row>
    <row r="149" spans="1:40" ht="15.75" thickBot="1" x14ac:dyDescent="0.3">
      <c r="A149" t="s">
        <v>158</v>
      </c>
      <c r="B149" t="s">
        <v>2297</v>
      </c>
      <c r="C149" t="s">
        <v>1040</v>
      </c>
      <c r="D149" t="s">
        <v>168</v>
      </c>
      <c r="E149" s="23" t="s">
        <v>18</v>
      </c>
      <c r="F149" s="23" t="s">
        <v>1033</v>
      </c>
      <c r="G149" s="23"/>
      <c r="H149" s="23" t="s">
        <v>1268</v>
      </c>
      <c r="I149" s="23"/>
      <c r="J149" s="63" t="s">
        <v>1715</v>
      </c>
      <c r="K149" s="63" t="s">
        <v>1715</v>
      </c>
      <c r="L149" s="24" t="e">
        <f t="shared" si="5"/>
        <v>#VALUE!</v>
      </c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</row>
    <row r="150" spans="1:40" ht="15.75" thickBot="1" x14ac:dyDescent="0.3">
      <c r="A150" t="s">
        <v>158</v>
      </c>
      <c r="B150" t="s">
        <v>916</v>
      </c>
      <c r="C150" t="s">
        <v>1040</v>
      </c>
      <c r="D150" t="s">
        <v>169</v>
      </c>
      <c r="E150" s="23" t="s">
        <v>15</v>
      </c>
      <c r="F150" s="23" t="s">
        <v>19</v>
      </c>
      <c r="G150" s="23"/>
      <c r="H150" s="23" t="s">
        <v>2298</v>
      </c>
      <c r="I150" s="23"/>
      <c r="J150" s="63" t="s">
        <v>1714</v>
      </c>
      <c r="K150" s="63" t="s">
        <v>1714</v>
      </c>
      <c r="L150" s="24" t="e">
        <f t="shared" si="5"/>
        <v>#VALUE!</v>
      </c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</row>
    <row r="151" spans="1:40" ht="15.75" thickBot="1" x14ac:dyDescent="0.3">
      <c r="A151" t="s">
        <v>165</v>
      </c>
      <c r="B151" t="s">
        <v>1197</v>
      </c>
      <c r="C151" t="s">
        <v>1040</v>
      </c>
      <c r="D151" t="s">
        <v>1198</v>
      </c>
      <c r="E151" t="s">
        <v>18</v>
      </c>
      <c r="F151" t="s">
        <v>27</v>
      </c>
      <c r="G151"/>
      <c r="H151" s="23" t="s">
        <v>1208</v>
      </c>
      <c r="I151" s="23"/>
      <c r="J151" s="63" t="s">
        <v>1716</v>
      </c>
      <c r="K151" s="63" t="s">
        <v>1716</v>
      </c>
      <c r="L151" s="24" t="e">
        <f t="shared" si="5"/>
        <v>#VALUE!</v>
      </c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</row>
    <row r="152" spans="1:40" ht="15.75" thickBot="1" x14ac:dyDescent="0.3">
      <c r="A152" t="s">
        <v>167</v>
      </c>
      <c r="B152" t="s">
        <v>2299</v>
      </c>
      <c r="C152" t="s">
        <v>1040</v>
      </c>
      <c r="D152" t="s">
        <v>2300</v>
      </c>
      <c r="E152" s="23" t="s">
        <v>15</v>
      </c>
      <c r="F152" s="23" t="s">
        <v>1267</v>
      </c>
      <c r="G152"/>
      <c r="H152" s="23" t="s">
        <v>2301</v>
      </c>
      <c r="I152" s="23"/>
      <c r="J152" s="63" t="s">
        <v>2302</v>
      </c>
      <c r="K152" s="63" t="s">
        <v>2302</v>
      </c>
      <c r="L152" s="24" t="e">
        <f t="shared" si="5"/>
        <v>#VALUE!</v>
      </c>
      <c r="M152" s="36"/>
      <c r="N152" s="36" t="s">
        <v>2188</v>
      </c>
      <c r="O152" s="36"/>
      <c r="P152" s="36"/>
      <c r="Q152" s="36"/>
      <c r="R152" s="36"/>
      <c r="S152" s="36"/>
      <c r="T152" s="36"/>
      <c r="U152" s="36" t="s">
        <v>2188</v>
      </c>
      <c r="V152" s="36" t="s">
        <v>2188</v>
      </c>
      <c r="W152" s="36" t="s">
        <v>2188</v>
      </c>
      <c r="X152" s="36" t="s">
        <v>2188</v>
      </c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</row>
    <row r="153" spans="1:40" ht="15.75" thickBot="1" x14ac:dyDescent="0.3">
      <c r="A153" t="s">
        <v>167</v>
      </c>
      <c r="B153" s="67" t="s">
        <v>1446</v>
      </c>
      <c r="C153" s="39" t="s">
        <v>1040</v>
      </c>
      <c r="D153" s="39" t="s">
        <v>1447</v>
      </c>
      <c r="E153" s="67" t="s">
        <v>18</v>
      </c>
      <c r="F153" s="67" t="s">
        <v>1267</v>
      </c>
      <c r="G153" s="67"/>
      <c r="H153" s="67" t="s">
        <v>1448</v>
      </c>
      <c r="I153" s="67"/>
      <c r="J153" s="63" t="s">
        <v>2081</v>
      </c>
      <c r="K153" s="63" t="s">
        <v>2081</v>
      </c>
      <c r="L153" s="24" t="e">
        <f t="shared" si="5"/>
        <v>#VALUE!</v>
      </c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</row>
    <row r="154" spans="1:40" ht="15.75" thickBot="1" x14ac:dyDescent="0.3">
      <c r="A154" s="35" t="s">
        <v>167</v>
      </c>
      <c r="B154" t="s">
        <v>2303</v>
      </c>
      <c r="C154" t="s">
        <v>1039</v>
      </c>
      <c r="D154" t="s">
        <v>1101</v>
      </c>
      <c r="E154" s="23" t="s">
        <v>71</v>
      </c>
      <c r="F154" s="23" t="s">
        <v>1033</v>
      </c>
      <c r="G154" s="23" t="s">
        <v>1216</v>
      </c>
      <c r="H154" s="23" t="s">
        <v>1113</v>
      </c>
      <c r="I154" s="23"/>
      <c r="J154" s="63" t="s">
        <v>1720</v>
      </c>
      <c r="K154" s="63" t="s">
        <v>1720</v>
      </c>
      <c r="L154" s="24" t="e">
        <f t="shared" si="5"/>
        <v>#VALUE!</v>
      </c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</row>
    <row r="155" spans="1:40" s="44" customFormat="1" ht="15.75" thickBot="1" x14ac:dyDescent="0.3">
      <c r="A155" s="39" t="s">
        <v>171</v>
      </c>
      <c r="B155" s="39" t="s">
        <v>2304</v>
      </c>
      <c r="C155" s="39" t="s">
        <v>1039</v>
      </c>
      <c r="D155" s="39" t="s">
        <v>1491</v>
      </c>
      <c r="E155" s="67" t="s">
        <v>45</v>
      </c>
      <c r="F155" s="67" t="s">
        <v>1267</v>
      </c>
      <c r="G155" s="67"/>
      <c r="H155" s="67" t="s">
        <v>1492</v>
      </c>
      <c r="I155" s="67"/>
      <c r="J155" s="63" t="s">
        <v>2305</v>
      </c>
      <c r="K155" s="63" t="s">
        <v>2305</v>
      </c>
      <c r="L155" s="61" t="e">
        <f t="shared" si="5"/>
        <v>#VALUE!</v>
      </c>
      <c r="M155" s="45"/>
      <c r="N155" s="45"/>
      <c r="O155" s="45"/>
      <c r="P155" s="45" t="s">
        <v>2188</v>
      </c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36"/>
      <c r="AH155" s="45"/>
      <c r="AI155" s="45"/>
      <c r="AJ155" s="45"/>
      <c r="AK155" s="45"/>
      <c r="AL155" s="45"/>
      <c r="AM155" s="45"/>
      <c r="AN155" s="45"/>
    </row>
    <row r="156" spans="1:40" ht="15.75" thickBot="1" x14ac:dyDescent="0.3">
      <c r="A156" t="s">
        <v>171</v>
      </c>
      <c r="B156" s="39" t="s">
        <v>2306</v>
      </c>
      <c r="C156" s="39" t="s">
        <v>1039</v>
      </c>
      <c r="D156" s="39" t="s">
        <v>2049</v>
      </c>
      <c r="E156" s="67" t="s">
        <v>45</v>
      </c>
      <c r="F156" s="67" t="s">
        <v>1267</v>
      </c>
      <c r="G156" s="67"/>
      <c r="H156" s="67" t="s">
        <v>2052</v>
      </c>
      <c r="I156" s="67"/>
      <c r="J156" s="63" t="s">
        <v>2307</v>
      </c>
      <c r="K156" s="63" t="s">
        <v>2307</v>
      </c>
      <c r="L156" s="24" t="e">
        <f t="shared" si="5"/>
        <v>#VALUE!</v>
      </c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</row>
    <row r="157" spans="1:40" ht="15.75" thickBot="1" x14ac:dyDescent="0.3">
      <c r="A157" t="s">
        <v>171</v>
      </c>
      <c r="B157" t="s">
        <v>2308</v>
      </c>
      <c r="C157" t="s">
        <v>1039</v>
      </c>
      <c r="D157" t="s">
        <v>1101</v>
      </c>
      <c r="E157" s="23" t="s">
        <v>71</v>
      </c>
      <c r="F157" s="23" t="s">
        <v>1033</v>
      </c>
      <c r="G157" s="23" t="s">
        <v>1216</v>
      </c>
      <c r="H157" s="23" t="s">
        <v>1112</v>
      </c>
      <c r="I157" s="23"/>
      <c r="J157" s="63" t="s">
        <v>1719</v>
      </c>
      <c r="K157" s="63" t="s">
        <v>1719</v>
      </c>
      <c r="L157" s="24" t="e">
        <f t="shared" si="5"/>
        <v>#VALUE!</v>
      </c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</row>
    <row r="158" spans="1:40" s="44" customFormat="1" ht="15.75" thickBot="1" x14ac:dyDescent="0.3">
      <c r="A158" s="39" t="s">
        <v>171</v>
      </c>
      <c r="B158" t="s">
        <v>917</v>
      </c>
      <c r="C158" t="s">
        <v>1039</v>
      </c>
      <c r="D158" t="s">
        <v>172</v>
      </c>
      <c r="E158" s="23" t="s">
        <v>71</v>
      </c>
      <c r="F158" s="23" t="s">
        <v>1033</v>
      </c>
      <c r="G158" s="23" t="s">
        <v>1216</v>
      </c>
      <c r="H158" s="23" t="s">
        <v>671</v>
      </c>
      <c r="I158" s="23"/>
      <c r="J158" s="63" t="s">
        <v>1717</v>
      </c>
      <c r="K158" s="63" t="s">
        <v>1717</v>
      </c>
      <c r="L158" s="24" t="e">
        <f t="shared" si="5"/>
        <v>#VALUE!</v>
      </c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45"/>
      <c r="AF158" s="45"/>
      <c r="AG158" s="36"/>
      <c r="AH158" s="45"/>
      <c r="AI158" s="45"/>
      <c r="AJ158" s="45"/>
      <c r="AK158" s="45"/>
      <c r="AL158" s="45"/>
      <c r="AM158" s="45"/>
      <c r="AN158" s="45"/>
    </row>
    <row r="159" spans="1:40" s="44" customFormat="1" ht="16.149999999999999" customHeight="1" thickBot="1" x14ac:dyDescent="0.3">
      <c r="A159" s="39" t="s">
        <v>171</v>
      </c>
      <c r="B159" t="s">
        <v>918</v>
      </c>
      <c r="C159" t="s">
        <v>1039</v>
      </c>
      <c r="D159" t="s">
        <v>172</v>
      </c>
      <c r="E159" s="23" t="s">
        <v>71</v>
      </c>
      <c r="F159" s="23" t="s">
        <v>1033</v>
      </c>
      <c r="G159" s="23" t="s">
        <v>1216</v>
      </c>
      <c r="H159" s="23" t="s">
        <v>672</v>
      </c>
      <c r="I159" s="23"/>
      <c r="J159" s="63" t="s">
        <v>1718</v>
      </c>
      <c r="K159" s="63" t="s">
        <v>1718</v>
      </c>
      <c r="L159" s="24" t="e">
        <f t="shared" si="5"/>
        <v>#VALUE!</v>
      </c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45"/>
      <c r="AF159" s="45"/>
      <c r="AG159" s="36"/>
      <c r="AH159" s="45"/>
      <c r="AI159" s="45"/>
      <c r="AJ159" s="45"/>
      <c r="AK159" s="45"/>
      <c r="AL159" s="45"/>
      <c r="AM159" s="45"/>
      <c r="AN159" s="45"/>
    </row>
    <row r="160" spans="1:40" ht="15.75" thickBot="1" x14ac:dyDescent="0.3">
      <c r="A160" t="s">
        <v>171</v>
      </c>
      <c r="B160" s="39" t="s">
        <v>919</v>
      </c>
      <c r="C160" s="44" t="s">
        <v>1039</v>
      </c>
      <c r="D160" s="39" t="s">
        <v>920</v>
      </c>
      <c r="E160" s="68" t="s">
        <v>71</v>
      </c>
      <c r="F160" s="67" t="s">
        <v>1267</v>
      </c>
      <c r="G160" s="67" t="s">
        <v>1216</v>
      </c>
      <c r="H160" s="67" t="s">
        <v>1185</v>
      </c>
      <c r="I160" s="67"/>
      <c r="J160" s="63" t="s">
        <v>2309</v>
      </c>
      <c r="K160" s="63" t="s">
        <v>2309</v>
      </c>
      <c r="L160" s="24" t="e">
        <f t="shared" si="5"/>
        <v>#VALUE!</v>
      </c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</row>
    <row r="161" spans="1:40" ht="15.75" thickBot="1" x14ac:dyDescent="0.3">
      <c r="A161" t="s">
        <v>171</v>
      </c>
      <c r="B161" s="39" t="s">
        <v>921</v>
      </c>
      <c r="C161" s="44" t="s">
        <v>1039</v>
      </c>
      <c r="D161" s="39" t="s">
        <v>920</v>
      </c>
      <c r="E161" s="68" t="s">
        <v>71</v>
      </c>
      <c r="F161" s="67" t="s">
        <v>1267</v>
      </c>
      <c r="G161" s="67" t="s">
        <v>1216</v>
      </c>
      <c r="H161" s="67" t="s">
        <v>1186</v>
      </c>
      <c r="I161" s="67"/>
      <c r="J161" s="63" t="s">
        <v>2310</v>
      </c>
      <c r="K161" s="63" t="s">
        <v>2310</v>
      </c>
      <c r="L161" s="24" t="e">
        <f t="shared" si="5"/>
        <v>#VALUE!</v>
      </c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</row>
    <row r="162" spans="1:40" s="39" customFormat="1" ht="15.75" thickBot="1" x14ac:dyDescent="0.3">
      <c r="A162" s="39" t="s">
        <v>171</v>
      </c>
      <c r="B162" s="39" t="s">
        <v>2311</v>
      </c>
      <c r="C162" s="44" t="s">
        <v>1039</v>
      </c>
      <c r="D162" s="39" t="s">
        <v>170</v>
      </c>
      <c r="E162" s="68" t="s">
        <v>18</v>
      </c>
      <c r="F162" s="67" t="s">
        <v>1267</v>
      </c>
      <c r="G162" s="67"/>
      <c r="H162" s="67" t="s">
        <v>2235</v>
      </c>
      <c r="I162" s="67"/>
      <c r="J162" s="63" t="s">
        <v>2312</v>
      </c>
      <c r="K162" s="63" t="s">
        <v>2312</v>
      </c>
      <c r="L162" s="24" t="e">
        <f t="shared" si="5"/>
        <v>#VALUE!</v>
      </c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</row>
    <row r="163" spans="1:40" s="39" customFormat="1" ht="15.75" thickBot="1" x14ac:dyDescent="0.3">
      <c r="A163" s="39" t="s">
        <v>171</v>
      </c>
      <c r="B163" s="39" t="s">
        <v>1292</v>
      </c>
      <c r="C163" s="39" t="s">
        <v>1040</v>
      </c>
      <c r="D163" s="39" t="s">
        <v>1293</v>
      </c>
      <c r="E163" s="67" t="s">
        <v>15</v>
      </c>
      <c r="F163" s="67" t="s">
        <v>1267</v>
      </c>
      <c r="G163" s="67"/>
      <c r="H163" s="67" t="s">
        <v>1433</v>
      </c>
      <c r="I163" s="67"/>
      <c r="J163" s="63" t="s">
        <v>1722</v>
      </c>
      <c r="K163" s="63" t="s">
        <v>1722</v>
      </c>
      <c r="L163" s="24" t="e">
        <f t="shared" si="5"/>
        <v>#VALUE!</v>
      </c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</row>
    <row r="164" spans="1:40" s="39" customFormat="1" ht="15.75" thickBot="1" x14ac:dyDescent="0.3">
      <c r="A164" s="39" t="s">
        <v>1288</v>
      </c>
      <c r="B164" s="39" t="s">
        <v>2210</v>
      </c>
      <c r="C164" s="39" t="s">
        <v>1040</v>
      </c>
      <c r="D164" s="39" t="s">
        <v>2211</v>
      </c>
      <c r="E164" s="67" t="s">
        <v>15</v>
      </c>
      <c r="F164" s="67" t="s">
        <v>1267</v>
      </c>
      <c r="G164" s="67"/>
      <c r="H164" s="67" t="s">
        <v>2212</v>
      </c>
      <c r="I164" s="67"/>
      <c r="J164" s="63" t="s">
        <v>2313</v>
      </c>
      <c r="K164" s="63" t="s">
        <v>2313</v>
      </c>
      <c r="L164" s="62" t="e">
        <f t="shared" si="5"/>
        <v>#VALUE!</v>
      </c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</row>
    <row r="165" spans="1:40" s="39" customFormat="1" ht="15.75" thickBot="1" x14ac:dyDescent="0.3">
      <c r="A165" s="39" t="s">
        <v>1288</v>
      </c>
      <c r="B165" s="39" t="s">
        <v>1276</v>
      </c>
      <c r="C165" s="39" t="s">
        <v>1040</v>
      </c>
      <c r="D165" s="39" t="s">
        <v>1277</v>
      </c>
      <c r="E165" s="67" t="s">
        <v>18</v>
      </c>
      <c r="F165" s="67" t="s">
        <v>1267</v>
      </c>
      <c r="G165" s="67"/>
      <c r="H165" s="67" t="s">
        <v>2236</v>
      </c>
      <c r="I165" s="67"/>
      <c r="J165" s="63" t="s">
        <v>1721</v>
      </c>
      <c r="K165" s="63" t="s">
        <v>1721</v>
      </c>
      <c r="L165" s="62" t="e">
        <f t="shared" ref="L165:L244" si="6">(I165)/(K165+I165)</f>
        <v>#VALUE!</v>
      </c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</row>
    <row r="166" spans="1:40" s="39" customFormat="1" ht="15.75" thickBot="1" x14ac:dyDescent="0.3">
      <c r="A166" s="39" t="s">
        <v>1288</v>
      </c>
      <c r="B166" t="s">
        <v>922</v>
      </c>
      <c r="C166" t="s">
        <v>1040</v>
      </c>
      <c r="D166" t="s">
        <v>174</v>
      </c>
      <c r="E166" s="23" t="s">
        <v>15</v>
      </c>
      <c r="F166" s="23" t="s">
        <v>27</v>
      </c>
      <c r="G166" s="23"/>
      <c r="H166" s="23" t="s">
        <v>673</v>
      </c>
      <c r="I166" s="23"/>
      <c r="J166" s="63" t="s">
        <v>1723</v>
      </c>
      <c r="K166" s="63" t="s">
        <v>1723</v>
      </c>
      <c r="L166" s="62" t="e">
        <f t="shared" si="6"/>
        <v>#VALUE!</v>
      </c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spans="1:40" ht="15.75" thickBot="1" x14ac:dyDescent="0.3">
      <c r="A167" t="s">
        <v>173</v>
      </c>
      <c r="B167" t="s">
        <v>923</v>
      </c>
      <c r="C167" t="s">
        <v>1040</v>
      </c>
      <c r="D167" t="s">
        <v>175</v>
      </c>
      <c r="E167" s="23" t="s">
        <v>15</v>
      </c>
      <c r="F167" s="23" t="s">
        <v>27</v>
      </c>
      <c r="G167" s="23"/>
      <c r="H167" s="23" t="s">
        <v>674</v>
      </c>
      <c r="I167" s="23"/>
      <c r="J167" s="63" t="s">
        <v>1724</v>
      </c>
      <c r="K167" s="63" t="s">
        <v>1724</v>
      </c>
      <c r="L167" s="24" t="e">
        <f t="shared" si="6"/>
        <v>#VALUE!</v>
      </c>
      <c r="M167" s="36"/>
      <c r="N167" s="36"/>
      <c r="O167" s="36"/>
      <c r="P167" s="36"/>
      <c r="Q167" s="36"/>
      <c r="R167" s="36"/>
      <c r="S167" s="36"/>
      <c r="T167" s="36"/>
      <c r="U167" s="36"/>
      <c r="V167" s="36" t="s">
        <v>2188</v>
      </c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spans="1:40" ht="15.75" thickBot="1" x14ac:dyDescent="0.3">
      <c r="A168" t="s">
        <v>173</v>
      </c>
      <c r="B168" t="s">
        <v>924</v>
      </c>
      <c r="C168" t="s">
        <v>1040</v>
      </c>
      <c r="D168" t="s">
        <v>176</v>
      </c>
      <c r="E168" s="23" t="s">
        <v>18</v>
      </c>
      <c r="F168" s="23" t="s">
        <v>27</v>
      </c>
      <c r="G168" s="23"/>
      <c r="H168" s="23" t="s">
        <v>1269</v>
      </c>
      <c r="I168" s="23"/>
      <c r="J168" s="63" t="s">
        <v>1725</v>
      </c>
      <c r="K168" s="63" t="s">
        <v>1725</v>
      </c>
      <c r="L168" s="24" t="e">
        <f t="shared" si="6"/>
        <v>#VALUE!</v>
      </c>
      <c r="M168" s="36"/>
      <c r="N168" s="36"/>
      <c r="O168" s="36"/>
      <c r="P168" s="36"/>
      <c r="Q168" s="36"/>
      <c r="R168" s="36"/>
      <c r="S168" s="36"/>
      <c r="T168" s="36"/>
      <c r="U168" s="36"/>
      <c r="V168" s="36" t="s">
        <v>2188</v>
      </c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spans="1:40" ht="15.75" thickBot="1" x14ac:dyDescent="0.3">
      <c r="A169" t="s">
        <v>173</v>
      </c>
      <c r="B169" t="s">
        <v>925</v>
      </c>
      <c r="C169" t="s">
        <v>1040</v>
      </c>
      <c r="D169" t="s">
        <v>177</v>
      </c>
      <c r="E169" s="23" t="s">
        <v>15</v>
      </c>
      <c r="F169" s="23" t="s">
        <v>27</v>
      </c>
      <c r="G169" s="23"/>
      <c r="H169" s="23" t="s">
        <v>675</v>
      </c>
      <c r="I169" s="23"/>
      <c r="J169" s="63" t="s">
        <v>1726</v>
      </c>
      <c r="K169" s="63" t="s">
        <v>1726</v>
      </c>
      <c r="L169" s="24" t="e">
        <f t="shared" si="6"/>
        <v>#VALUE!</v>
      </c>
      <c r="M169" s="36"/>
      <c r="N169" s="36"/>
      <c r="O169" s="36"/>
      <c r="P169" s="36"/>
      <c r="Q169" s="36"/>
      <c r="R169" s="36"/>
      <c r="S169" s="36"/>
      <c r="T169" s="36"/>
      <c r="U169" s="36"/>
      <c r="V169" s="36" t="s">
        <v>2188</v>
      </c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</row>
    <row r="170" spans="1:40" ht="15.75" thickBot="1" x14ac:dyDescent="0.3">
      <c r="A170" t="s">
        <v>173</v>
      </c>
      <c r="B170" t="s">
        <v>1483</v>
      </c>
      <c r="C170" t="s">
        <v>1040</v>
      </c>
      <c r="D170" t="s">
        <v>956</v>
      </c>
      <c r="E170" s="23" t="s">
        <v>45</v>
      </c>
      <c r="F170" s="23" t="s">
        <v>27</v>
      </c>
      <c r="G170" s="23"/>
      <c r="H170" s="23" t="s">
        <v>1486</v>
      </c>
      <c r="I170" s="23"/>
      <c r="J170" s="63" t="s">
        <v>1727</v>
      </c>
      <c r="K170" s="63" t="s">
        <v>1727</v>
      </c>
      <c r="L170" s="24" t="e">
        <f t="shared" si="6"/>
        <v>#VALUE!</v>
      </c>
      <c r="M170" s="36"/>
      <c r="N170" s="36"/>
      <c r="O170" s="36"/>
      <c r="P170" s="36"/>
      <c r="Q170" s="36"/>
      <c r="R170" s="36"/>
      <c r="S170" s="36"/>
      <c r="T170" s="36"/>
      <c r="U170" s="36"/>
      <c r="V170" s="36" t="s">
        <v>2188</v>
      </c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</row>
    <row r="171" spans="1:40" ht="15.75" thickBot="1" x14ac:dyDescent="0.3">
      <c r="A171" t="s">
        <v>173</v>
      </c>
      <c r="B171" s="35" t="s">
        <v>1484</v>
      </c>
      <c r="C171" s="35" t="s">
        <v>1040</v>
      </c>
      <c r="D171" s="35" t="s">
        <v>1485</v>
      </c>
      <c r="E171" s="72" t="s">
        <v>15</v>
      </c>
      <c r="F171" s="72" t="s">
        <v>27</v>
      </c>
      <c r="G171" s="72"/>
      <c r="H171" s="72" t="s">
        <v>1487</v>
      </c>
      <c r="I171" s="72"/>
      <c r="J171" s="73" t="s">
        <v>1728</v>
      </c>
      <c r="K171" s="73" t="s">
        <v>1728</v>
      </c>
      <c r="L171" s="24" t="e">
        <f t="shared" si="6"/>
        <v>#VALUE!</v>
      </c>
      <c r="M171" s="36" t="s">
        <v>2188</v>
      </c>
      <c r="N171" s="36" t="s">
        <v>2188</v>
      </c>
      <c r="O171" s="36" t="s">
        <v>2188</v>
      </c>
      <c r="P171" s="36" t="s">
        <v>2188</v>
      </c>
      <c r="Q171" s="36" t="s">
        <v>2188</v>
      </c>
      <c r="R171" s="36" t="s">
        <v>2188</v>
      </c>
      <c r="S171" s="36"/>
      <c r="T171" s="36"/>
      <c r="U171" s="36" t="s">
        <v>2188</v>
      </c>
      <c r="V171" s="36" t="s">
        <v>2188</v>
      </c>
      <c r="W171" s="36" t="s">
        <v>2188</v>
      </c>
      <c r="X171" s="36" t="s">
        <v>2188</v>
      </c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spans="1:40" ht="15.75" thickBot="1" x14ac:dyDescent="0.3">
      <c r="A172" t="s">
        <v>173</v>
      </c>
      <c r="B172" t="s">
        <v>180</v>
      </c>
      <c r="C172" t="s">
        <v>1040</v>
      </c>
      <c r="D172" t="s">
        <v>926</v>
      </c>
      <c r="E172" s="23" t="s">
        <v>45</v>
      </c>
      <c r="F172" s="23" t="s">
        <v>19</v>
      </c>
      <c r="G172" s="23"/>
      <c r="H172" s="23" t="s">
        <v>681</v>
      </c>
      <c r="I172" s="23"/>
      <c r="J172" s="63" t="s">
        <v>2314</v>
      </c>
      <c r="K172" s="63" t="s">
        <v>2314</v>
      </c>
      <c r="L172" s="24" t="e">
        <f t="shared" si="6"/>
        <v>#VALUE!</v>
      </c>
      <c r="M172" s="36" t="s">
        <v>2188</v>
      </c>
      <c r="N172" s="36" t="s">
        <v>2188</v>
      </c>
      <c r="O172" s="36" t="s">
        <v>2188</v>
      </c>
      <c r="P172" s="36" t="s">
        <v>2188</v>
      </c>
      <c r="Q172" s="36" t="s">
        <v>2188</v>
      </c>
      <c r="R172" s="36" t="s">
        <v>2188</v>
      </c>
      <c r="S172" s="36"/>
      <c r="T172" s="36"/>
      <c r="U172" s="36" t="s">
        <v>2188</v>
      </c>
      <c r="V172" s="36" t="s">
        <v>2188</v>
      </c>
      <c r="W172" s="36" t="s">
        <v>2188</v>
      </c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spans="1:40" ht="15.75" thickBot="1" x14ac:dyDescent="0.3">
      <c r="A173" t="s">
        <v>178</v>
      </c>
      <c r="B173" s="23" t="s">
        <v>1140</v>
      </c>
      <c r="C173" s="23" t="s">
        <v>1040</v>
      </c>
      <c r="D173" t="s">
        <v>1123</v>
      </c>
      <c r="E173" s="23" t="s">
        <v>1086</v>
      </c>
      <c r="F173" s="23" t="s">
        <v>2295</v>
      </c>
      <c r="G173" s="23"/>
      <c r="H173" s="23" t="s">
        <v>1124</v>
      </c>
      <c r="I173" s="23"/>
      <c r="J173" s="63" t="s">
        <v>1740</v>
      </c>
      <c r="K173" s="63" t="s">
        <v>1740</v>
      </c>
      <c r="L173" s="24" t="e">
        <f t="shared" si="6"/>
        <v>#VALUE!</v>
      </c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spans="1:40" ht="15.75" thickBot="1" x14ac:dyDescent="0.3">
      <c r="A174" t="s">
        <v>183</v>
      </c>
      <c r="B174" s="23" t="s">
        <v>1139</v>
      </c>
      <c r="C174" s="23" t="s">
        <v>1040</v>
      </c>
      <c r="D174" t="s">
        <v>1123</v>
      </c>
      <c r="E174" s="23" t="s">
        <v>1086</v>
      </c>
      <c r="F174" s="23" t="s">
        <v>2295</v>
      </c>
      <c r="G174" s="23"/>
      <c r="H174" s="23" t="s">
        <v>1125</v>
      </c>
      <c r="I174" s="23"/>
      <c r="J174" s="63" t="s">
        <v>2315</v>
      </c>
      <c r="K174" s="63" t="s">
        <v>2315</v>
      </c>
      <c r="L174" s="24" t="e">
        <f t="shared" si="6"/>
        <v>#VALUE!</v>
      </c>
      <c r="M174" s="36"/>
      <c r="N174" s="36"/>
      <c r="O174" s="36"/>
      <c r="P174" s="36" t="s">
        <v>2188</v>
      </c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spans="1:40" ht="15.75" thickBot="1" x14ac:dyDescent="0.3">
      <c r="A175" t="s">
        <v>183</v>
      </c>
      <c r="B175" s="23" t="s">
        <v>1142</v>
      </c>
      <c r="C175" s="23" t="s">
        <v>1040</v>
      </c>
      <c r="D175" t="s">
        <v>1120</v>
      </c>
      <c r="E175" s="23" t="s">
        <v>71</v>
      </c>
      <c r="F175" s="23" t="s">
        <v>27</v>
      </c>
      <c r="G175" s="23"/>
      <c r="H175" s="23" t="s">
        <v>1121</v>
      </c>
      <c r="I175" s="23"/>
      <c r="J175" s="63" t="s">
        <v>1741</v>
      </c>
      <c r="K175" s="63" t="s">
        <v>1741</v>
      </c>
      <c r="L175" s="24" t="e">
        <f t="shared" si="6"/>
        <v>#VALUE!</v>
      </c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</row>
    <row r="176" spans="1:40" ht="15.75" thickBot="1" x14ac:dyDescent="0.3">
      <c r="A176" t="s">
        <v>178</v>
      </c>
      <c r="B176" s="23" t="s">
        <v>1143</v>
      </c>
      <c r="C176" s="23" t="s">
        <v>1040</v>
      </c>
      <c r="D176" t="s">
        <v>1120</v>
      </c>
      <c r="E176" s="23" t="s">
        <v>71</v>
      </c>
      <c r="F176" s="23" t="s">
        <v>27</v>
      </c>
      <c r="G176" s="23"/>
      <c r="H176" s="23" t="s">
        <v>1122</v>
      </c>
      <c r="I176" s="23"/>
      <c r="J176" s="63" t="s">
        <v>1742</v>
      </c>
      <c r="K176" s="63" t="s">
        <v>1742</v>
      </c>
      <c r="L176" s="24" t="e">
        <f t="shared" si="6"/>
        <v>#VALUE!</v>
      </c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</row>
    <row r="177" spans="1:40" ht="15.75" thickBot="1" x14ac:dyDescent="0.3">
      <c r="A177" t="s">
        <v>178</v>
      </c>
      <c r="B177" s="23" t="s">
        <v>1450</v>
      </c>
      <c r="C177" s="23" t="s">
        <v>1040</v>
      </c>
      <c r="D177" t="s">
        <v>1451</v>
      </c>
      <c r="E177" s="23" t="s">
        <v>18</v>
      </c>
      <c r="F177" s="23" t="s">
        <v>27</v>
      </c>
      <c r="G177" s="23"/>
      <c r="H177" s="23" t="s">
        <v>1452</v>
      </c>
      <c r="I177" s="23"/>
      <c r="J177" s="63" t="s">
        <v>2316</v>
      </c>
      <c r="K177" s="63" t="s">
        <v>2316</v>
      </c>
      <c r="L177" s="24" t="e">
        <f t="shared" si="6"/>
        <v>#VALUE!</v>
      </c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</row>
    <row r="178" spans="1:40" s="39" customFormat="1" ht="15.75" thickBot="1" x14ac:dyDescent="0.3">
      <c r="A178" s="39" t="s">
        <v>178</v>
      </c>
      <c r="B178" s="67" t="s">
        <v>1488</v>
      </c>
      <c r="C178" s="67" t="s">
        <v>1040</v>
      </c>
      <c r="D178" s="39" t="s">
        <v>1489</v>
      </c>
      <c r="E178" s="67" t="s">
        <v>18</v>
      </c>
      <c r="F178" s="67" t="s">
        <v>1267</v>
      </c>
      <c r="G178" s="67"/>
      <c r="H178" s="67" t="s">
        <v>1490</v>
      </c>
      <c r="I178" s="67"/>
      <c r="J178" s="63" t="s">
        <v>1743</v>
      </c>
      <c r="K178" s="63" t="s">
        <v>1743</v>
      </c>
      <c r="L178" s="62" t="e">
        <f t="shared" si="6"/>
        <v>#VALUE!</v>
      </c>
      <c r="M178" s="36" t="s">
        <v>2188</v>
      </c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</row>
    <row r="179" spans="1:40" ht="15.75" thickBot="1" x14ac:dyDescent="0.3">
      <c r="A179" t="s">
        <v>178</v>
      </c>
      <c r="B179" s="67" t="s">
        <v>2213</v>
      </c>
      <c r="C179" s="67" t="s">
        <v>1040</v>
      </c>
      <c r="D179" s="39" t="s">
        <v>2214</v>
      </c>
      <c r="E179" s="67" t="s">
        <v>1086</v>
      </c>
      <c r="F179" s="67" t="s">
        <v>1267</v>
      </c>
      <c r="G179" s="67"/>
      <c r="H179" s="67" t="s">
        <v>2215</v>
      </c>
      <c r="I179" s="67"/>
      <c r="J179" s="63" t="s">
        <v>2317</v>
      </c>
      <c r="K179" s="63" t="s">
        <v>2317</v>
      </c>
      <c r="L179" s="24" t="e">
        <f t="shared" si="6"/>
        <v>#VALUE!</v>
      </c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</row>
    <row r="180" spans="1:40" ht="15.75" thickBot="1" x14ac:dyDescent="0.3">
      <c r="A180" t="s">
        <v>178</v>
      </c>
      <c r="B180" t="s">
        <v>181</v>
      </c>
      <c r="C180" t="s">
        <v>1040</v>
      </c>
      <c r="D180" t="s">
        <v>182</v>
      </c>
      <c r="E180" s="23" t="s">
        <v>18</v>
      </c>
      <c r="F180" s="23" t="s">
        <v>1033</v>
      </c>
      <c r="G180" s="23"/>
      <c r="H180" s="23" t="s">
        <v>1393</v>
      </c>
      <c r="I180" s="23"/>
      <c r="J180" s="63" t="s">
        <v>1729</v>
      </c>
      <c r="K180" s="63" t="s">
        <v>1729</v>
      </c>
      <c r="L180" s="24" t="e">
        <f t="shared" si="6"/>
        <v>#VALUE!</v>
      </c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</row>
    <row r="181" spans="1:40" ht="15.75" thickBot="1" x14ac:dyDescent="0.3">
      <c r="A181" t="s">
        <v>178</v>
      </c>
      <c r="B181" t="s">
        <v>184</v>
      </c>
      <c r="C181" t="s">
        <v>1040</v>
      </c>
      <c r="D181" t="s">
        <v>185</v>
      </c>
      <c r="E181" s="23" t="s">
        <v>18</v>
      </c>
      <c r="F181" s="23" t="s">
        <v>1033</v>
      </c>
      <c r="G181" s="23" t="s">
        <v>445</v>
      </c>
      <c r="H181" s="23" t="s">
        <v>676</v>
      </c>
      <c r="I181" s="23"/>
      <c r="J181" s="63" t="s">
        <v>1730</v>
      </c>
      <c r="K181" s="63" t="s">
        <v>1730</v>
      </c>
      <c r="L181" s="24" t="e">
        <f t="shared" si="6"/>
        <v>#VALUE!</v>
      </c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</row>
    <row r="182" spans="1:40" ht="15.75" thickBot="1" x14ac:dyDescent="0.3">
      <c r="A182" t="s">
        <v>178</v>
      </c>
      <c r="B182" t="s">
        <v>187</v>
      </c>
      <c r="C182" t="s">
        <v>1040</v>
      </c>
      <c r="D182" t="s">
        <v>188</v>
      </c>
      <c r="E182" s="23" t="s">
        <v>15</v>
      </c>
      <c r="F182" s="23" t="s">
        <v>1033</v>
      </c>
      <c r="G182" s="23" t="s">
        <v>445</v>
      </c>
      <c r="H182" s="23" t="s">
        <v>677</v>
      </c>
      <c r="I182" s="23"/>
      <c r="J182" s="63" t="s">
        <v>1731</v>
      </c>
      <c r="K182" s="63" t="s">
        <v>1731</v>
      </c>
      <c r="L182" s="24" t="e">
        <f t="shared" si="6"/>
        <v>#VALUE!</v>
      </c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</row>
    <row r="183" spans="1:40" ht="15.75" thickBot="1" x14ac:dyDescent="0.3">
      <c r="A183" t="s">
        <v>178</v>
      </c>
      <c r="B183" t="s">
        <v>189</v>
      </c>
      <c r="C183" t="s">
        <v>1040</v>
      </c>
      <c r="D183" t="s">
        <v>190</v>
      </c>
      <c r="E183" s="23" t="s">
        <v>18</v>
      </c>
      <c r="F183" s="23" t="s">
        <v>27</v>
      </c>
      <c r="G183" s="23"/>
      <c r="H183" s="23" t="s">
        <v>678</v>
      </c>
      <c r="I183" s="23"/>
      <c r="J183" s="63" t="s">
        <v>1732</v>
      </c>
      <c r="K183" s="63" t="s">
        <v>1732</v>
      </c>
      <c r="L183" s="24" t="e">
        <f t="shared" si="6"/>
        <v>#VALUE!</v>
      </c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</row>
    <row r="184" spans="1:40" ht="15.75" thickBot="1" x14ac:dyDescent="0.3">
      <c r="A184" t="s">
        <v>178</v>
      </c>
      <c r="B184" t="s">
        <v>191</v>
      </c>
      <c r="C184" t="s">
        <v>1040</v>
      </c>
      <c r="D184" t="s">
        <v>192</v>
      </c>
      <c r="E184" s="23" t="s">
        <v>18</v>
      </c>
      <c r="F184" s="23" t="s">
        <v>27</v>
      </c>
      <c r="G184" s="23"/>
      <c r="H184" s="23" t="s">
        <v>679</v>
      </c>
      <c r="I184" s="23"/>
      <c r="J184" s="63" t="s">
        <v>1733</v>
      </c>
      <c r="K184" s="63" t="s">
        <v>1733</v>
      </c>
      <c r="L184" s="24" t="e">
        <f t="shared" si="6"/>
        <v>#VALUE!</v>
      </c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</row>
    <row r="185" spans="1:40" ht="15.75" thickBot="1" x14ac:dyDescent="0.3">
      <c r="A185" t="s">
        <v>178</v>
      </c>
      <c r="B185" s="39" t="s">
        <v>193</v>
      </c>
      <c r="C185" s="39" t="s">
        <v>1040</v>
      </c>
      <c r="D185" s="39" t="s">
        <v>194</v>
      </c>
      <c r="E185" s="67" t="s">
        <v>18</v>
      </c>
      <c r="F185" s="67" t="s">
        <v>1267</v>
      </c>
      <c r="G185" s="67"/>
      <c r="H185" s="67" t="s">
        <v>1384</v>
      </c>
      <c r="I185" s="67"/>
      <c r="J185" s="63" t="s">
        <v>1734</v>
      </c>
      <c r="K185" s="63" t="s">
        <v>1734</v>
      </c>
      <c r="L185" s="24" t="e">
        <f t="shared" si="6"/>
        <v>#VALUE!</v>
      </c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</row>
    <row r="186" spans="1:40" ht="15.75" thickBot="1" x14ac:dyDescent="0.3">
      <c r="A186" t="s">
        <v>178</v>
      </c>
      <c r="B186" t="s">
        <v>927</v>
      </c>
      <c r="C186" t="s">
        <v>1040</v>
      </c>
      <c r="D186" t="s">
        <v>179</v>
      </c>
      <c r="E186" s="23" t="s">
        <v>15</v>
      </c>
      <c r="F186" s="23" t="s">
        <v>1033</v>
      </c>
      <c r="G186" s="23" t="s">
        <v>445</v>
      </c>
      <c r="H186" s="23" t="s">
        <v>680</v>
      </c>
      <c r="I186" s="23"/>
      <c r="J186" s="63" t="s">
        <v>1735</v>
      </c>
      <c r="K186" s="63" t="s">
        <v>1735</v>
      </c>
      <c r="L186" s="24" t="e">
        <f t="shared" si="6"/>
        <v>#VALUE!</v>
      </c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</row>
    <row r="187" spans="1:40" ht="15.75" thickBot="1" x14ac:dyDescent="0.3">
      <c r="A187" t="s">
        <v>178</v>
      </c>
      <c r="B187" t="s">
        <v>195</v>
      </c>
      <c r="C187" t="s">
        <v>1040</v>
      </c>
      <c r="D187" t="s">
        <v>196</v>
      </c>
      <c r="E187" s="23" t="s">
        <v>71</v>
      </c>
      <c r="F187" s="23" t="s">
        <v>27</v>
      </c>
      <c r="G187" s="23"/>
      <c r="H187" s="23" t="s">
        <v>682</v>
      </c>
      <c r="I187" s="23"/>
      <c r="J187" s="63" t="s">
        <v>1736</v>
      </c>
      <c r="K187" s="63" t="s">
        <v>1736</v>
      </c>
      <c r="L187" s="24" t="e">
        <f t="shared" si="6"/>
        <v>#VALUE!</v>
      </c>
      <c r="M187" s="36"/>
      <c r="N187" s="36"/>
      <c r="O187" s="36"/>
      <c r="P187" s="36"/>
      <c r="Q187" s="36"/>
      <c r="R187" s="36"/>
      <c r="S187" s="36"/>
      <c r="T187" s="36"/>
      <c r="U187" s="36" t="s">
        <v>2188</v>
      </c>
      <c r="V187" s="36" t="s">
        <v>2188</v>
      </c>
      <c r="W187" s="36" t="s">
        <v>2188</v>
      </c>
      <c r="X187" s="36" t="s">
        <v>2188</v>
      </c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</row>
    <row r="188" spans="1:40" ht="15.75" thickBot="1" x14ac:dyDescent="0.3">
      <c r="A188" t="s">
        <v>178</v>
      </c>
      <c r="B188" t="s">
        <v>197</v>
      </c>
      <c r="C188" t="s">
        <v>1040</v>
      </c>
      <c r="D188" t="s">
        <v>196</v>
      </c>
      <c r="E188" s="23" t="s">
        <v>71</v>
      </c>
      <c r="F188" s="23" t="s">
        <v>27</v>
      </c>
      <c r="G188" s="23"/>
      <c r="H188" s="23" t="s">
        <v>683</v>
      </c>
      <c r="I188" s="23"/>
      <c r="J188" s="63" t="s">
        <v>1737</v>
      </c>
      <c r="K188" s="63" t="s">
        <v>1737</v>
      </c>
      <c r="L188" s="24" t="e">
        <f t="shared" si="6"/>
        <v>#VALUE!</v>
      </c>
      <c r="M188" s="36"/>
      <c r="N188" s="36"/>
      <c r="O188" s="36"/>
      <c r="P188" s="36"/>
      <c r="Q188" s="36"/>
      <c r="R188" s="36"/>
      <c r="S188" s="36"/>
      <c r="T188" s="36"/>
      <c r="U188" s="36" t="s">
        <v>2188</v>
      </c>
      <c r="V188" s="36" t="s">
        <v>2188</v>
      </c>
      <c r="W188" s="36" t="s">
        <v>2188</v>
      </c>
      <c r="X188" s="36" t="s">
        <v>2188</v>
      </c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</row>
    <row r="189" spans="1:40" ht="15.75" thickBot="1" x14ac:dyDescent="0.3">
      <c r="A189" t="s">
        <v>178</v>
      </c>
      <c r="B189" t="s">
        <v>198</v>
      </c>
      <c r="C189" t="s">
        <v>1040</v>
      </c>
      <c r="D189" t="s">
        <v>199</v>
      </c>
      <c r="E189" s="23" t="s">
        <v>71</v>
      </c>
      <c r="F189" s="23" t="s">
        <v>2295</v>
      </c>
      <c r="G189" s="23"/>
      <c r="H189" s="23" t="s">
        <v>658</v>
      </c>
      <c r="I189" s="23"/>
      <c r="J189" s="63" t="s">
        <v>1738</v>
      </c>
      <c r="K189" s="63" t="s">
        <v>1738</v>
      </c>
      <c r="L189" s="24" t="e">
        <f t="shared" si="6"/>
        <v>#VALUE!</v>
      </c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</row>
    <row r="190" spans="1:40" s="39" customFormat="1" ht="15.75" thickBot="1" x14ac:dyDescent="0.3">
      <c r="A190" s="39" t="s">
        <v>178</v>
      </c>
      <c r="B190" t="s">
        <v>200</v>
      </c>
      <c r="C190" t="s">
        <v>1040</v>
      </c>
      <c r="D190" t="s">
        <v>199</v>
      </c>
      <c r="E190" s="23" t="s">
        <v>71</v>
      </c>
      <c r="F190" s="23" t="s">
        <v>2295</v>
      </c>
      <c r="G190" s="23"/>
      <c r="H190" s="23" t="s">
        <v>659</v>
      </c>
      <c r="I190" s="23"/>
      <c r="J190" s="63" t="s">
        <v>1739</v>
      </c>
      <c r="K190" s="63" t="s">
        <v>1739</v>
      </c>
      <c r="L190" s="24" t="e">
        <f t="shared" si="6"/>
        <v>#VALUE!</v>
      </c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</row>
    <row r="191" spans="1:40" s="39" customFormat="1" ht="15.75" thickBot="1" x14ac:dyDescent="0.3">
      <c r="A191" s="39" t="s">
        <v>178</v>
      </c>
      <c r="B191" s="67" t="s">
        <v>2087</v>
      </c>
      <c r="C191" s="67" t="s">
        <v>1040</v>
      </c>
      <c r="D191" s="39" t="s">
        <v>2088</v>
      </c>
      <c r="E191" s="67" t="s">
        <v>18</v>
      </c>
      <c r="F191" s="67" t="s">
        <v>1267</v>
      </c>
      <c r="G191" s="67"/>
      <c r="H191" s="67" t="s">
        <v>2089</v>
      </c>
      <c r="I191" s="67"/>
      <c r="J191" s="63" t="s">
        <v>2090</v>
      </c>
      <c r="K191" s="63" t="s">
        <v>2090</v>
      </c>
      <c r="L191" s="24" t="e">
        <f t="shared" si="6"/>
        <v>#VALUE!</v>
      </c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</row>
    <row r="192" spans="1:40" s="39" customFormat="1" ht="15.75" thickBot="1" x14ac:dyDescent="0.3">
      <c r="A192" s="39" t="s">
        <v>178</v>
      </c>
      <c r="B192" s="67" t="s">
        <v>2144</v>
      </c>
      <c r="C192" s="67" t="s">
        <v>1040</v>
      </c>
      <c r="D192" s="39" t="s">
        <v>2145</v>
      </c>
      <c r="E192" s="67" t="s">
        <v>18</v>
      </c>
      <c r="F192" s="67" t="s">
        <v>27</v>
      </c>
      <c r="G192" s="67"/>
      <c r="H192" s="67" t="s">
        <v>2237</v>
      </c>
      <c r="I192" s="67"/>
      <c r="J192" s="63" t="s">
        <v>2090</v>
      </c>
      <c r="K192" s="63" t="s">
        <v>2090</v>
      </c>
      <c r="L192" s="24" t="e">
        <f t="shared" si="6"/>
        <v>#VALUE!</v>
      </c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</row>
    <row r="193" spans="1:40" s="39" customFormat="1" ht="15.75" thickBot="1" x14ac:dyDescent="0.3">
      <c r="A193" s="39" t="s">
        <v>178</v>
      </c>
      <c r="B193" s="67" t="s">
        <v>2189</v>
      </c>
      <c r="C193" s="67" t="s">
        <v>1040</v>
      </c>
      <c r="D193" s="39" t="s">
        <v>1471</v>
      </c>
      <c r="E193" s="67" t="s">
        <v>1086</v>
      </c>
      <c r="F193" s="67" t="s">
        <v>1267</v>
      </c>
      <c r="G193" s="67"/>
      <c r="H193" s="67" t="s">
        <v>1472</v>
      </c>
      <c r="I193" s="67"/>
      <c r="J193" s="63" t="s">
        <v>1744</v>
      </c>
      <c r="K193" s="63" t="s">
        <v>1744</v>
      </c>
      <c r="L193" s="24" t="e">
        <f t="shared" si="6"/>
        <v>#VALUE!</v>
      </c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</row>
    <row r="194" spans="1:40" s="39" customFormat="1" ht="15.75" thickBot="1" x14ac:dyDescent="0.3">
      <c r="B194" t="s">
        <v>928</v>
      </c>
      <c r="C194" t="s">
        <v>1040</v>
      </c>
      <c r="D194" t="s">
        <v>202</v>
      </c>
      <c r="E194" s="23" t="s">
        <v>15</v>
      </c>
      <c r="F194" s="23" t="s">
        <v>27</v>
      </c>
      <c r="G194" s="23"/>
      <c r="H194" s="23" t="s">
        <v>685</v>
      </c>
      <c r="I194" s="23"/>
      <c r="J194" s="63" t="s">
        <v>1745</v>
      </c>
      <c r="K194" s="63" t="s">
        <v>1745</v>
      </c>
      <c r="L194" s="24" t="e">
        <f t="shared" si="6"/>
        <v>#VALUE!</v>
      </c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</row>
    <row r="195" spans="1:40" ht="15.75" thickBot="1" x14ac:dyDescent="0.3">
      <c r="A195" t="s">
        <v>201</v>
      </c>
      <c r="B195" t="s">
        <v>929</v>
      </c>
      <c r="C195" t="s">
        <v>1040</v>
      </c>
      <c r="D195" t="s">
        <v>203</v>
      </c>
      <c r="E195" s="23" t="s">
        <v>15</v>
      </c>
      <c r="F195" s="23" t="s">
        <v>27</v>
      </c>
      <c r="G195" s="23"/>
      <c r="H195" s="23" t="s">
        <v>686</v>
      </c>
      <c r="I195" s="23"/>
      <c r="J195" s="63" t="s">
        <v>1746</v>
      </c>
      <c r="K195" s="63" t="s">
        <v>1746</v>
      </c>
      <c r="L195" s="24" t="e">
        <f t="shared" si="6"/>
        <v>#VALUE!</v>
      </c>
      <c r="M195" s="36"/>
      <c r="N195" s="36"/>
      <c r="O195" s="36"/>
      <c r="P195" s="36"/>
      <c r="Q195" s="36"/>
      <c r="R195" s="36"/>
      <c r="S195" s="36"/>
      <c r="T195" s="36"/>
      <c r="U195" s="36"/>
      <c r="V195" s="36" t="s">
        <v>2188</v>
      </c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</row>
    <row r="196" spans="1:40" ht="15.75" thickBot="1" x14ac:dyDescent="0.3">
      <c r="A196" t="s">
        <v>201</v>
      </c>
      <c r="B196" s="35" t="s">
        <v>930</v>
      </c>
      <c r="C196" s="35" t="s">
        <v>1040</v>
      </c>
      <c r="D196" s="35" t="s">
        <v>205</v>
      </c>
      <c r="E196" s="72" t="s">
        <v>18</v>
      </c>
      <c r="F196" s="72" t="s">
        <v>1267</v>
      </c>
      <c r="G196" s="72"/>
      <c r="H196" s="72" t="s">
        <v>687</v>
      </c>
      <c r="I196" s="72"/>
      <c r="J196" s="73"/>
      <c r="K196" s="73"/>
      <c r="L196" s="24" t="e">
        <f t="shared" si="6"/>
        <v>#DIV/0!</v>
      </c>
      <c r="M196" s="36"/>
      <c r="N196" s="36"/>
      <c r="O196" s="36"/>
      <c r="P196" s="36"/>
      <c r="Q196" s="36"/>
      <c r="R196" s="36"/>
      <c r="S196" s="36"/>
      <c r="T196" s="36"/>
      <c r="U196" s="36"/>
      <c r="V196" s="36" t="s">
        <v>2188</v>
      </c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</row>
    <row r="197" spans="1:40" s="35" customFormat="1" ht="15.75" thickBot="1" x14ac:dyDescent="0.3">
      <c r="A197" s="35" t="s">
        <v>204</v>
      </c>
      <c r="B197" s="39" t="s">
        <v>207</v>
      </c>
      <c r="C197" s="39" t="s">
        <v>1039</v>
      </c>
      <c r="D197" s="39" t="s">
        <v>208</v>
      </c>
      <c r="E197" s="67" t="s">
        <v>15</v>
      </c>
      <c r="F197" s="67" t="s">
        <v>1267</v>
      </c>
      <c r="G197" s="67"/>
      <c r="H197" s="67" t="s">
        <v>1526</v>
      </c>
      <c r="I197" s="67"/>
      <c r="J197" s="63" t="s">
        <v>1752</v>
      </c>
      <c r="K197" s="63" t="s">
        <v>1752</v>
      </c>
      <c r="L197" s="74" t="e">
        <f t="shared" si="6"/>
        <v>#VALUE!</v>
      </c>
      <c r="M197" s="64" t="s">
        <v>2188</v>
      </c>
      <c r="N197" s="64" t="s">
        <v>2188</v>
      </c>
      <c r="O197" s="64" t="s">
        <v>2188</v>
      </c>
      <c r="P197" s="64" t="s">
        <v>2188</v>
      </c>
      <c r="Q197" s="64" t="s">
        <v>2188</v>
      </c>
      <c r="R197" s="64"/>
      <c r="S197" s="64"/>
      <c r="T197" s="64"/>
      <c r="U197" s="64" t="s">
        <v>2188</v>
      </c>
      <c r="V197" s="64" t="s">
        <v>2188</v>
      </c>
      <c r="W197" s="64" t="s">
        <v>2188</v>
      </c>
      <c r="X197" s="64" t="s">
        <v>2188</v>
      </c>
      <c r="Y197" s="64"/>
      <c r="Z197" s="64"/>
      <c r="AA197" s="64"/>
      <c r="AB197" s="64"/>
      <c r="AC197" s="64"/>
      <c r="AD197" s="64"/>
      <c r="AE197" s="64"/>
      <c r="AF197" s="64"/>
      <c r="AG197" s="64"/>
      <c r="AH197" s="64"/>
      <c r="AI197" s="64"/>
      <c r="AJ197" s="64"/>
      <c r="AK197" s="64"/>
      <c r="AL197" s="64"/>
      <c r="AM197" s="64"/>
      <c r="AN197" s="64"/>
    </row>
    <row r="198" spans="1:40" s="39" customFormat="1" ht="15.75" thickBot="1" x14ac:dyDescent="0.3">
      <c r="A198" s="39" t="s">
        <v>216</v>
      </c>
      <c r="B198" s="39" t="s">
        <v>211</v>
      </c>
      <c r="C198" s="39" t="s">
        <v>1039</v>
      </c>
      <c r="D198" s="39" t="s">
        <v>212</v>
      </c>
      <c r="E198" s="67" t="s">
        <v>15</v>
      </c>
      <c r="F198" s="67" t="s">
        <v>1267</v>
      </c>
      <c r="G198" s="67"/>
      <c r="H198" s="67" t="s">
        <v>1360</v>
      </c>
      <c r="I198" s="67"/>
      <c r="J198" s="63" t="s">
        <v>1755</v>
      </c>
      <c r="K198" s="63" t="s">
        <v>1755</v>
      </c>
      <c r="L198" s="62" t="e">
        <f t="shared" si="6"/>
        <v>#VALUE!</v>
      </c>
      <c r="M198" s="36" t="s">
        <v>2188</v>
      </c>
      <c r="N198" s="36" t="s">
        <v>2188</v>
      </c>
      <c r="O198" s="36" t="s">
        <v>2188</v>
      </c>
      <c r="P198" s="36" t="s">
        <v>2188</v>
      </c>
      <c r="Q198" s="36" t="s">
        <v>2188</v>
      </c>
      <c r="R198" s="36" t="s">
        <v>2188</v>
      </c>
      <c r="S198" s="36"/>
      <c r="T198" s="36"/>
      <c r="U198" s="36" t="s">
        <v>2188</v>
      </c>
      <c r="V198" s="36" t="s">
        <v>2188</v>
      </c>
      <c r="W198" s="36" t="s">
        <v>2188</v>
      </c>
      <c r="X198" s="36" t="s">
        <v>2188</v>
      </c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</row>
    <row r="199" spans="1:40" s="39" customFormat="1" ht="15.75" thickBot="1" x14ac:dyDescent="0.3">
      <c r="A199" s="39" t="s">
        <v>158</v>
      </c>
      <c r="B199" t="s">
        <v>213</v>
      </c>
      <c r="C199" t="s">
        <v>1039</v>
      </c>
      <c r="D199" t="s">
        <v>214</v>
      </c>
      <c r="E199" s="23" t="s">
        <v>71</v>
      </c>
      <c r="F199" s="23" t="s">
        <v>1033</v>
      </c>
      <c r="G199" s="23" t="s">
        <v>1216</v>
      </c>
      <c r="H199" s="23" t="s">
        <v>689</v>
      </c>
      <c r="I199" s="23"/>
      <c r="J199" s="63" t="s">
        <v>1757</v>
      </c>
      <c r="K199" s="63" t="s">
        <v>1757</v>
      </c>
      <c r="L199" s="62" t="e">
        <f t="shared" si="6"/>
        <v>#VALUE!</v>
      </c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</row>
    <row r="200" spans="1:40" ht="15.75" thickBot="1" x14ac:dyDescent="0.3">
      <c r="A200" t="s">
        <v>206</v>
      </c>
      <c r="B200" t="s">
        <v>215</v>
      </c>
      <c r="C200" t="s">
        <v>1039</v>
      </c>
      <c r="D200" t="s">
        <v>214</v>
      </c>
      <c r="E200" s="23" t="s">
        <v>71</v>
      </c>
      <c r="F200" s="23" t="s">
        <v>1033</v>
      </c>
      <c r="G200" s="23" t="s">
        <v>1216</v>
      </c>
      <c r="H200" s="23" t="s">
        <v>690</v>
      </c>
      <c r="I200" s="23"/>
      <c r="J200" s="63" t="s">
        <v>1758</v>
      </c>
      <c r="K200" s="63" t="s">
        <v>1758</v>
      </c>
      <c r="L200" s="24" t="e">
        <f t="shared" si="6"/>
        <v>#VALUE!</v>
      </c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</row>
    <row r="201" spans="1:40" ht="15.75" thickBot="1" x14ac:dyDescent="0.3">
      <c r="A201" t="s">
        <v>206</v>
      </c>
      <c r="B201" t="s">
        <v>931</v>
      </c>
      <c r="C201" t="s">
        <v>1039</v>
      </c>
      <c r="D201" t="s">
        <v>231</v>
      </c>
      <c r="E201" s="23" t="s">
        <v>71</v>
      </c>
      <c r="F201" s="23" t="s">
        <v>1033</v>
      </c>
      <c r="G201" s="23" t="s">
        <v>1216</v>
      </c>
      <c r="H201" s="23" t="s">
        <v>691</v>
      </c>
      <c r="I201" s="23"/>
      <c r="J201" s="63" t="s">
        <v>1759</v>
      </c>
      <c r="K201" s="63" t="s">
        <v>1759</v>
      </c>
      <c r="L201" s="24" t="e">
        <f t="shared" si="6"/>
        <v>#VALUE!</v>
      </c>
      <c r="M201" s="36" t="s">
        <v>2188</v>
      </c>
      <c r="N201" s="36" t="s">
        <v>2188</v>
      </c>
      <c r="O201" s="36" t="s">
        <v>2188</v>
      </c>
      <c r="P201" s="36" t="s">
        <v>2188</v>
      </c>
      <c r="Q201" s="36" t="s">
        <v>2188</v>
      </c>
      <c r="R201" s="36" t="s">
        <v>2188</v>
      </c>
      <c r="S201" s="36"/>
      <c r="T201" s="36"/>
      <c r="U201" s="36" t="s">
        <v>2188</v>
      </c>
      <c r="V201" s="36" t="s">
        <v>2188</v>
      </c>
      <c r="W201" s="36" t="s">
        <v>2188</v>
      </c>
      <c r="X201" s="36" t="s">
        <v>2188</v>
      </c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</row>
    <row r="202" spans="1:40" ht="15.75" thickBot="1" x14ac:dyDescent="0.3">
      <c r="A202" t="s">
        <v>206</v>
      </c>
      <c r="B202" t="s">
        <v>932</v>
      </c>
      <c r="C202" t="s">
        <v>1039</v>
      </c>
      <c r="D202" t="s">
        <v>231</v>
      </c>
      <c r="E202" s="23" t="s">
        <v>71</v>
      </c>
      <c r="F202" s="23" t="s">
        <v>1033</v>
      </c>
      <c r="G202" s="23" t="s">
        <v>1216</v>
      </c>
      <c r="H202" s="23" t="s">
        <v>692</v>
      </c>
      <c r="I202" s="23"/>
      <c r="J202" s="63" t="s">
        <v>1760</v>
      </c>
      <c r="K202" s="63" t="s">
        <v>1760</v>
      </c>
      <c r="L202" s="24" t="e">
        <f t="shared" si="6"/>
        <v>#VALUE!</v>
      </c>
      <c r="M202" s="36"/>
      <c r="N202" s="36"/>
      <c r="O202" s="36" t="s">
        <v>2188</v>
      </c>
      <c r="P202" s="36"/>
      <c r="Q202" s="36"/>
      <c r="R202" s="36" t="s">
        <v>2188</v>
      </c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</row>
    <row r="203" spans="1:40" s="44" customFormat="1" ht="15.75" thickBot="1" x14ac:dyDescent="0.3">
      <c r="A203" s="44" t="s">
        <v>206</v>
      </c>
      <c r="B203" t="s">
        <v>933</v>
      </c>
      <c r="C203" t="s">
        <v>1039</v>
      </c>
      <c r="D203" t="s">
        <v>232</v>
      </c>
      <c r="E203" s="23" t="s">
        <v>71</v>
      </c>
      <c r="F203" s="23" t="s">
        <v>1033</v>
      </c>
      <c r="G203" s="23" t="s">
        <v>1216</v>
      </c>
      <c r="H203" s="23" t="s">
        <v>693</v>
      </c>
      <c r="I203" s="23"/>
      <c r="J203" s="63" t="s">
        <v>1761</v>
      </c>
      <c r="K203" s="63" t="s">
        <v>1761</v>
      </c>
      <c r="L203" s="24" t="e">
        <f t="shared" si="6"/>
        <v>#VALUE!</v>
      </c>
      <c r="M203" s="36" t="s">
        <v>2188</v>
      </c>
      <c r="N203" s="36" t="s">
        <v>2188</v>
      </c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45"/>
      <c r="AF203" s="45"/>
      <c r="AG203" s="36"/>
      <c r="AH203" s="45"/>
      <c r="AI203" s="45"/>
      <c r="AJ203" s="45"/>
      <c r="AK203" s="45"/>
      <c r="AL203" s="45"/>
      <c r="AM203" s="45"/>
      <c r="AN203" s="45"/>
    </row>
    <row r="204" spans="1:40" s="39" customFormat="1" ht="15.75" thickBot="1" x14ac:dyDescent="0.3">
      <c r="A204" s="39" t="s">
        <v>206</v>
      </c>
      <c r="B204" t="s">
        <v>934</v>
      </c>
      <c r="C204" t="s">
        <v>1039</v>
      </c>
      <c r="D204" t="s">
        <v>232</v>
      </c>
      <c r="E204" s="23" t="s">
        <v>71</v>
      </c>
      <c r="F204" s="23" t="s">
        <v>1033</v>
      </c>
      <c r="G204" s="23" t="s">
        <v>1216</v>
      </c>
      <c r="H204" s="23" t="s">
        <v>694</v>
      </c>
      <c r="I204" s="23"/>
      <c r="J204" s="63" t="s">
        <v>1621</v>
      </c>
      <c r="K204" s="63" t="s">
        <v>1621</v>
      </c>
      <c r="L204" s="62" t="e">
        <f t="shared" si="6"/>
        <v>#VALUE!</v>
      </c>
      <c r="M204" s="36"/>
      <c r="N204" s="36"/>
      <c r="O204" s="36" t="s">
        <v>2188</v>
      </c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</row>
    <row r="205" spans="1:40" ht="15.75" thickBot="1" x14ac:dyDescent="0.3">
      <c r="A205" t="s">
        <v>206</v>
      </c>
      <c r="B205" s="39" t="s">
        <v>1200</v>
      </c>
      <c r="C205" s="39" t="s">
        <v>1039</v>
      </c>
      <c r="D205" s="39" t="s">
        <v>1199</v>
      </c>
      <c r="E205" s="39" t="s">
        <v>18</v>
      </c>
      <c r="F205" s="39" t="s">
        <v>1267</v>
      </c>
      <c r="G205" s="39"/>
      <c r="H205" s="67" t="s">
        <v>1209</v>
      </c>
      <c r="I205" s="67"/>
      <c r="J205" s="63" t="s">
        <v>1762</v>
      </c>
      <c r="K205" s="63" t="s">
        <v>1762</v>
      </c>
      <c r="L205" s="24" t="e">
        <f t="shared" si="6"/>
        <v>#VALUE!</v>
      </c>
      <c r="M205" s="36" t="s">
        <v>2188</v>
      </c>
      <c r="N205" s="36" t="s">
        <v>2188</v>
      </c>
      <c r="O205" s="36" t="s">
        <v>2188</v>
      </c>
      <c r="P205" s="36" t="s">
        <v>2188</v>
      </c>
      <c r="Q205" s="36" t="s">
        <v>2188</v>
      </c>
      <c r="R205" s="36" t="s">
        <v>2188</v>
      </c>
      <c r="S205" s="36"/>
      <c r="T205" s="36"/>
      <c r="U205" s="36" t="s">
        <v>2188</v>
      </c>
      <c r="V205" s="36" t="s">
        <v>2188</v>
      </c>
      <c r="W205" s="36" t="s">
        <v>2188</v>
      </c>
      <c r="X205" s="36" t="s">
        <v>2188</v>
      </c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</row>
    <row r="206" spans="1:40" ht="15.75" thickBot="1" x14ac:dyDescent="0.3">
      <c r="A206" t="s">
        <v>206</v>
      </c>
      <c r="B206" s="39" t="s">
        <v>2318</v>
      </c>
      <c r="C206" s="39" t="s">
        <v>1039</v>
      </c>
      <c r="D206" s="39" t="s">
        <v>2319</v>
      </c>
      <c r="E206" s="67"/>
      <c r="F206" s="67" t="s">
        <v>1267</v>
      </c>
      <c r="G206" s="39"/>
      <c r="H206" s="67" t="s">
        <v>2320</v>
      </c>
      <c r="I206" s="67"/>
      <c r="J206" s="63" t="s">
        <v>2321</v>
      </c>
      <c r="K206" s="63" t="s">
        <v>2321</v>
      </c>
      <c r="L206" s="24" t="e">
        <f t="shared" si="6"/>
        <v>#VALUE!</v>
      </c>
      <c r="M206" s="36" t="s">
        <v>2188</v>
      </c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</row>
    <row r="207" spans="1:40" s="39" customFormat="1" ht="15.75" thickBot="1" x14ac:dyDescent="0.3">
      <c r="A207" s="39" t="s">
        <v>206</v>
      </c>
      <c r="B207" s="39" t="s">
        <v>217</v>
      </c>
      <c r="C207" s="39" t="s">
        <v>1039</v>
      </c>
      <c r="D207" s="39" t="s">
        <v>218</v>
      </c>
      <c r="E207" s="67" t="s">
        <v>15</v>
      </c>
      <c r="F207" s="67" t="s">
        <v>1267</v>
      </c>
      <c r="G207" s="67"/>
      <c r="H207" s="67" t="s">
        <v>1346</v>
      </c>
      <c r="I207" s="67"/>
      <c r="J207" s="63" t="s">
        <v>1747</v>
      </c>
      <c r="K207" s="63" t="s">
        <v>1747</v>
      </c>
      <c r="L207" s="62" t="e">
        <f t="shared" si="6"/>
        <v>#VALUE!</v>
      </c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</row>
    <row r="208" spans="1:40" ht="15.75" thickBot="1" x14ac:dyDescent="0.3">
      <c r="A208" t="s">
        <v>206</v>
      </c>
      <c r="B208" s="39" t="s">
        <v>219</v>
      </c>
      <c r="C208" s="39" t="s">
        <v>1039</v>
      </c>
      <c r="D208" s="39" t="s">
        <v>220</v>
      </c>
      <c r="E208" s="67" t="s">
        <v>18</v>
      </c>
      <c r="F208" s="67" t="s">
        <v>1267</v>
      </c>
      <c r="G208" s="67"/>
      <c r="H208" s="67" t="s">
        <v>1381</v>
      </c>
      <c r="I208" s="67"/>
      <c r="J208" s="63" t="s">
        <v>1748</v>
      </c>
      <c r="K208" s="63" t="s">
        <v>1748</v>
      </c>
      <c r="L208" s="24" t="e">
        <f t="shared" si="6"/>
        <v>#VALUE!</v>
      </c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</row>
    <row r="209" spans="1:40" ht="15.75" thickBot="1" x14ac:dyDescent="0.3">
      <c r="A209" t="s">
        <v>206</v>
      </c>
      <c r="B209" t="s">
        <v>221</v>
      </c>
      <c r="C209" t="s">
        <v>1039</v>
      </c>
      <c r="D209" t="s">
        <v>222</v>
      </c>
      <c r="E209" s="23" t="s">
        <v>18</v>
      </c>
      <c r="F209" s="23" t="s">
        <v>1033</v>
      </c>
      <c r="G209" s="23"/>
      <c r="H209" s="23" t="s">
        <v>1363</v>
      </c>
      <c r="I209" s="23"/>
      <c r="J209" s="63" t="s">
        <v>1749</v>
      </c>
      <c r="K209" s="63" t="s">
        <v>1749</v>
      </c>
      <c r="L209" s="24" t="e">
        <f t="shared" si="6"/>
        <v>#VALUE!</v>
      </c>
      <c r="M209" s="36"/>
      <c r="N209" s="36"/>
      <c r="O209" s="36"/>
      <c r="P209" s="36" t="s">
        <v>2188</v>
      </c>
      <c r="Q209" s="36" t="s">
        <v>2188</v>
      </c>
      <c r="R209" s="36" t="s">
        <v>2188</v>
      </c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</row>
    <row r="210" spans="1:40" ht="15.75" thickBot="1" x14ac:dyDescent="0.3">
      <c r="A210" t="s">
        <v>206</v>
      </c>
      <c r="B210" t="s">
        <v>223</v>
      </c>
      <c r="C210" t="s">
        <v>1039</v>
      </c>
      <c r="D210" t="s">
        <v>224</v>
      </c>
      <c r="E210" s="23" t="s">
        <v>18</v>
      </c>
      <c r="F210" s="23" t="s">
        <v>1033</v>
      </c>
      <c r="G210" s="23"/>
      <c r="H210" s="23" t="s">
        <v>2238</v>
      </c>
      <c r="I210" s="23"/>
      <c r="J210" s="63" t="s">
        <v>1750</v>
      </c>
      <c r="K210" s="63" t="s">
        <v>1750</v>
      </c>
      <c r="L210" s="24" t="e">
        <f t="shared" si="6"/>
        <v>#VALUE!</v>
      </c>
      <c r="M210" s="36"/>
      <c r="N210" s="36"/>
      <c r="O210" s="36"/>
      <c r="P210" s="36" t="s">
        <v>2188</v>
      </c>
      <c r="Q210" s="36" t="s">
        <v>2188</v>
      </c>
      <c r="R210" s="36" t="s">
        <v>2188</v>
      </c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</row>
    <row r="211" spans="1:40" ht="15.75" thickBot="1" x14ac:dyDescent="0.3">
      <c r="A211" t="s">
        <v>206</v>
      </c>
      <c r="B211" t="s">
        <v>225</v>
      </c>
      <c r="C211" t="s">
        <v>1039</v>
      </c>
      <c r="D211" t="s">
        <v>226</v>
      </c>
      <c r="E211" s="23" t="s">
        <v>18</v>
      </c>
      <c r="F211" s="23" t="s">
        <v>1033</v>
      </c>
      <c r="G211" s="23"/>
      <c r="H211" s="23" t="s">
        <v>2239</v>
      </c>
      <c r="I211" s="23"/>
      <c r="J211" s="63" t="s">
        <v>1751</v>
      </c>
      <c r="K211" s="63" t="s">
        <v>1751</v>
      </c>
      <c r="L211" s="24" t="e">
        <f t="shared" si="6"/>
        <v>#VALUE!</v>
      </c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</row>
    <row r="212" spans="1:40" ht="15.75" thickBot="1" x14ac:dyDescent="0.3">
      <c r="A212" t="s">
        <v>206</v>
      </c>
      <c r="B212" t="s">
        <v>227</v>
      </c>
      <c r="C212" t="s">
        <v>1039</v>
      </c>
      <c r="D212" t="s">
        <v>228</v>
      </c>
      <c r="E212" s="23" t="s">
        <v>15</v>
      </c>
      <c r="F212" s="23" t="s">
        <v>1267</v>
      </c>
      <c r="G212" s="23"/>
      <c r="H212" s="23" t="s">
        <v>2240</v>
      </c>
      <c r="I212" s="23"/>
      <c r="J212" s="63" t="s">
        <v>2322</v>
      </c>
      <c r="K212" s="63" t="s">
        <v>2322</v>
      </c>
      <c r="L212" s="24" t="e">
        <f t="shared" si="6"/>
        <v>#VALUE!</v>
      </c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</row>
    <row r="213" spans="1:40" ht="15.75" thickBot="1" x14ac:dyDescent="0.3">
      <c r="A213" t="s">
        <v>206</v>
      </c>
      <c r="B213" t="s">
        <v>935</v>
      </c>
      <c r="C213" t="s">
        <v>1039</v>
      </c>
      <c r="D213" t="s">
        <v>209</v>
      </c>
      <c r="E213" s="23" t="s">
        <v>15</v>
      </c>
      <c r="F213" s="23" t="s">
        <v>1267</v>
      </c>
      <c r="G213" s="23"/>
      <c r="H213" s="23" t="s">
        <v>1361</v>
      </c>
      <c r="I213" s="23"/>
      <c r="J213" s="63" t="s">
        <v>1753</v>
      </c>
      <c r="K213" s="63" t="s">
        <v>1753</v>
      </c>
      <c r="L213" s="24" t="e">
        <f t="shared" si="6"/>
        <v>#VALUE!</v>
      </c>
      <c r="M213" s="36"/>
      <c r="N213" s="36"/>
      <c r="O213" s="36"/>
      <c r="P213" s="36" t="s">
        <v>2188</v>
      </c>
      <c r="Q213" s="36" t="s">
        <v>2188</v>
      </c>
      <c r="R213" s="36" t="s">
        <v>2188</v>
      </c>
      <c r="S213" s="36"/>
      <c r="T213" s="36"/>
      <c r="U213" s="36" t="s">
        <v>2188</v>
      </c>
      <c r="V213" s="36"/>
      <c r="W213" s="36"/>
      <c r="X213" s="36" t="s">
        <v>2188</v>
      </c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</row>
    <row r="214" spans="1:40" ht="15.75" thickBot="1" x14ac:dyDescent="0.3">
      <c r="A214" t="s">
        <v>206</v>
      </c>
      <c r="B214" t="s">
        <v>936</v>
      </c>
      <c r="C214" t="s">
        <v>1039</v>
      </c>
      <c r="D214" t="s">
        <v>210</v>
      </c>
      <c r="E214" s="23" t="s">
        <v>15</v>
      </c>
      <c r="F214" s="23" t="s">
        <v>1033</v>
      </c>
      <c r="G214" s="23"/>
      <c r="H214" s="23" t="s">
        <v>1182</v>
      </c>
      <c r="I214" s="23"/>
      <c r="J214" s="63" t="s">
        <v>1754</v>
      </c>
      <c r="K214" s="63" t="s">
        <v>1754</v>
      </c>
      <c r="L214" s="24" t="e">
        <f t="shared" si="6"/>
        <v>#VALUE!</v>
      </c>
      <c r="M214" s="36"/>
      <c r="N214" s="36"/>
      <c r="O214" s="36"/>
      <c r="P214" s="36" t="s">
        <v>2188</v>
      </c>
      <c r="Q214" s="36" t="s">
        <v>2188</v>
      </c>
      <c r="R214" s="36" t="s">
        <v>2188</v>
      </c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</row>
    <row r="215" spans="1:40" s="39" customFormat="1" ht="15.75" thickBot="1" x14ac:dyDescent="0.3">
      <c r="A215" s="39" t="s">
        <v>206</v>
      </c>
      <c r="B215" t="s">
        <v>229</v>
      </c>
      <c r="C215" t="s">
        <v>1039</v>
      </c>
      <c r="D215" t="s">
        <v>230</v>
      </c>
      <c r="E215" s="23" t="s">
        <v>15</v>
      </c>
      <c r="F215" s="23" t="s">
        <v>1267</v>
      </c>
      <c r="G215" s="23"/>
      <c r="H215" s="23" t="s">
        <v>688</v>
      </c>
      <c r="I215" s="23"/>
      <c r="J215" s="63" t="s">
        <v>1756</v>
      </c>
      <c r="K215" s="63" t="s">
        <v>1756</v>
      </c>
      <c r="L215" s="62" t="e">
        <f t="shared" si="6"/>
        <v>#VALUE!</v>
      </c>
      <c r="M215" s="36"/>
      <c r="N215" s="36"/>
      <c r="O215" s="36"/>
      <c r="P215" s="36"/>
      <c r="Q215" s="36"/>
      <c r="R215" s="36"/>
      <c r="S215" s="36"/>
      <c r="T215" s="36"/>
      <c r="U215" s="36" t="s">
        <v>2188</v>
      </c>
      <c r="V215" s="36" t="s">
        <v>2188</v>
      </c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</row>
    <row r="216" spans="1:40" s="39" customFormat="1" ht="15.75" thickBot="1" x14ac:dyDescent="0.3">
      <c r="A216" s="39" t="s">
        <v>206</v>
      </c>
      <c r="B216" s="39" t="s">
        <v>1523</v>
      </c>
      <c r="C216" s="39" t="s">
        <v>1039</v>
      </c>
      <c r="D216" s="39" t="s">
        <v>1524</v>
      </c>
      <c r="E216" s="67" t="s">
        <v>71</v>
      </c>
      <c r="F216" s="67" t="s">
        <v>1267</v>
      </c>
      <c r="H216" s="67" t="s">
        <v>1525</v>
      </c>
      <c r="I216" s="67"/>
      <c r="J216" s="63" t="s">
        <v>1763</v>
      </c>
      <c r="K216" s="63" t="s">
        <v>1763</v>
      </c>
      <c r="L216" s="62" t="e">
        <f t="shared" si="6"/>
        <v>#VALUE!</v>
      </c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</row>
    <row r="217" spans="1:40" s="39" customFormat="1" ht="15.75" thickBot="1" x14ac:dyDescent="0.3">
      <c r="A217" s="39" t="s">
        <v>206</v>
      </c>
      <c r="B217" s="39" t="s">
        <v>2122</v>
      </c>
      <c r="C217" s="39" t="s">
        <v>1039</v>
      </c>
      <c r="D217" s="39" t="s">
        <v>2123</v>
      </c>
      <c r="E217" s="67" t="s">
        <v>71</v>
      </c>
      <c r="F217" s="67" t="s">
        <v>1267</v>
      </c>
      <c r="H217" s="67" t="s">
        <v>2124</v>
      </c>
      <c r="I217" s="67"/>
      <c r="J217" s="63" t="s">
        <v>2125</v>
      </c>
      <c r="K217" s="63" t="s">
        <v>2125</v>
      </c>
      <c r="L217" s="62" t="e">
        <f t="shared" si="6"/>
        <v>#VALUE!</v>
      </c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spans="1:40" ht="15.75" thickBot="1" x14ac:dyDescent="0.3">
      <c r="A218" t="s">
        <v>91</v>
      </c>
      <c r="B218" t="s">
        <v>233</v>
      </c>
      <c r="C218" t="s">
        <v>1039</v>
      </c>
      <c r="D218" t="s">
        <v>234</v>
      </c>
      <c r="E218" s="23" t="s">
        <v>15</v>
      </c>
      <c r="F218" s="23" t="s">
        <v>1033</v>
      </c>
      <c r="G218" s="23" t="s">
        <v>44</v>
      </c>
      <c r="H218" s="23" t="s">
        <v>695</v>
      </c>
      <c r="I218" s="23"/>
      <c r="J218" s="63" t="s">
        <v>1764</v>
      </c>
      <c r="K218" s="63" t="s">
        <v>1764</v>
      </c>
      <c r="L218" s="24" t="e">
        <f t="shared" si="6"/>
        <v>#VALUE!</v>
      </c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spans="1:40" s="39" customFormat="1" ht="15.75" thickBot="1" x14ac:dyDescent="0.3">
      <c r="A219" s="39" t="s">
        <v>91</v>
      </c>
      <c r="B219" s="39" t="s">
        <v>235</v>
      </c>
      <c r="C219" s="39" t="s">
        <v>1039</v>
      </c>
      <c r="D219" s="39" t="s">
        <v>236</v>
      </c>
      <c r="E219" s="67" t="s">
        <v>15</v>
      </c>
      <c r="F219" s="67" t="s">
        <v>1267</v>
      </c>
      <c r="G219" s="67" t="s">
        <v>44</v>
      </c>
      <c r="H219" s="67" t="s">
        <v>696</v>
      </c>
      <c r="I219" s="67"/>
      <c r="J219" s="63" t="s">
        <v>1765</v>
      </c>
      <c r="K219" s="63" t="s">
        <v>1765</v>
      </c>
      <c r="L219" s="62" t="e">
        <f t="shared" si="6"/>
        <v>#VALUE!</v>
      </c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spans="1:40" s="39" customFormat="1" ht="15.75" thickBot="1" x14ac:dyDescent="0.3">
      <c r="A220" s="39" t="s">
        <v>91</v>
      </c>
      <c r="B220" s="39" t="s">
        <v>237</v>
      </c>
      <c r="C220" s="39" t="s">
        <v>1039</v>
      </c>
      <c r="D220" s="39" t="s">
        <v>238</v>
      </c>
      <c r="E220" s="67" t="s">
        <v>15</v>
      </c>
      <c r="F220" s="67" t="s">
        <v>1267</v>
      </c>
      <c r="G220" s="67" t="s">
        <v>44</v>
      </c>
      <c r="H220" s="67" t="s">
        <v>2241</v>
      </c>
      <c r="I220" s="67"/>
      <c r="J220" s="63" t="s">
        <v>1766</v>
      </c>
      <c r="K220" s="63" t="s">
        <v>1766</v>
      </c>
      <c r="L220" s="62" t="e">
        <f t="shared" si="6"/>
        <v>#VALUE!</v>
      </c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</row>
    <row r="221" spans="1:40" ht="15.75" thickBot="1" x14ac:dyDescent="0.3">
      <c r="A221" t="s">
        <v>91</v>
      </c>
      <c r="B221" t="s">
        <v>1454</v>
      </c>
      <c r="C221" t="s">
        <v>1039</v>
      </c>
      <c r="D221" t="s">
        <v>1455</v>
      </c>
      <c r="E221" s="23" t="s">
        <v>15</v>
      </c>
      <c r="F221" s="23" t="s">
        <v>2295</v>
      </c>
      <c r="G221" s="23" t="s">
        <v>2323</v>
      </c>
      <c r="H221" s="23" t="s">
        <v>1456</v>
      </c>
      <c r="I221" s="23"/>
      <c r="J221" s="63" t="s">
        <v>1767</v>
      </c>
      <c r="K221" s="63" t="s">
        <v>1767</v>
      </c>
      <c r="L221" s="62" t="e">
        <f t="shared" si="6"/>
        <v>#VALUE!</v>
      </c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</row>
    <row r="222" spans="1:40" ht="15.75" thickBot="1" x14ac:dyDescent="0.3">
      <c r="A222" t="s">
        <v>91</v>
      </c>
      <c r="B222" t="s">
        <v>2176</v>
      </c>
      <c r="C222" t="s">
        <v>1039</v>
      </c>
      <c r="D222" t="s">
        <v>2177</v>
      </c>
      <c r="E222" s="23" t="s">
        <v>15</v>
      </c>
      <c r="F222" s="67" t="s">
        <v>1267</v>
      </c>
      <c r="G222" s="23"/>
      <c r="H222" s="23" t="s">
        <v>2178</v>
      </c>
      <c r="I222" s="23"/>
      <c r="J222" s="63" t="s">
        <v>2179</v>
      </c>
      <c r="K222" s="63" t="s">
        <v>2179</v>
      </c>
      <c r="L222" s="62" t="e">
        <f t="shared" si="6"/>
        <v>#VALUE!</v>
      </c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</row>
    <row r="223" spans="1:40" ht="15.75" thickBot="1" x14ac:dyDescent="0.3">
      <c r="A223" t="s">
        <v>186</v>
      </c>
      <c r="B223" t="s">
        <v>1154</v>
      </c>
      <c r="C223" t="s">
        <v>1040</v>
      </c>
      <c r="D223" t="s">
        <v>1155</v>
      </c>
      <c r="E223" s="23" t="s">
        <v>71</v>
      </c>
      <c r="F223" s="23" t="s">
        <v>19</v>
      </c>
      <c r="G223" s="23"/>
      <c r="H223" s="23" t="s">
        <v>1237</v>
      </c>
      <c r="I223" s="23"/>
      <c r="J223" s="63" t="s">
        <v>2324</v>
      </c>
      <c r="K223" s="63" t="s">
        <v>2324</v>
      </c>
      <c r="L223" s="24" t="e">
        <f t="shared" si="6"/>
        <v>#VALUE!</v>
      </c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</row>
    <row r="224" spans="1:40" ht="15.75" thickBot="1" x14ac:dyDescent="0.3">
      <c r="A224" t="s">
        <v>186</v>
      </c>
      <c r="B224" t="s">
        <v>1156</v>
      </c>
      <c r="C224" t="s">
        <v>1040</v>
      </c>
      <c r="D224" t="s">
        <v>1157</v>
      </c>
      <c r="E224" s="23" t="s">
        <v>71</v>
      </c>
      <c r="F224" s="23" t="s">
        <v>19</v>
      </c>
      <c r="G224" s="23"/>
      <c r="H224" s="23" t="s">
        <v>1238</v>
      </c>
      <c r="I224" s="23"/>
      <c r="J224" s="63" t="s">
        <v>2325</v>
      </c>
      <c r="K224" s="63" t="s">
        <v>2325</v>
      </c>
      <c r="L224" s="24" t="e">
        <f t="shared" si="6"/>
        <v>#VALUE!</v>
      </c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</row>
    <row r="225" spans="1:40" ht="15.75" thickBot="1" x14ac:dyDescent="0.3">
      <c r="A225" t="s">
        <v>1394</v>
      </c>
      <c r="B225" t="s">
        <v>937</v>
      </c>
      <c r="C225" t="s">
        <v>1039</v>
      </c>
      <c r="D225" t="s">
        <v>1058</v>
      </c>
      <c r="E225" s="23" t="s">
        <v>18</v>
      </c>
      <c r="F225" s="23" t="s">
        <v>1033</v>
      </c>
      <c r="G225" s="23"/>
      <c r="H225" s="23" t="s">
        <v>2242</v>
      </c>
      <c r="I225" s="23"/>
      <c r="J225" s="63" t="s">
        <v>1768</v>
      </c>
      <c r="K225" s="63" t="s">
        <v>1768</v>
      </c>
      <c r="L225" s="24" t="e">
        <f t="shared" si="6"/>
        <v>#VALUE!</v>
      </c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</row>
    <row r="226" spans="1:40" s="39" customFormat="1" ht="15.75" thickBot="1" x14ac:dyDescent="0.3">
      <c r="A226" s="39" t="s">
        <v>158</v>
      </c>
      <c r="B226" s="39" t="s">
        <v>239</v>
      </c>
      <c r="C226" s="39" t="s">
        <v>1039</v>
      </c>
      <c r="D226" s="39" t="s">
        <v>240</v>
      </c>
      <c r="E226" s="67" t="s">
        <v>18</v>
      </c>
      <c r="F226" s="67" t="s">
        <v>1267</v>
      </c>
      <c r="G226" s="67"/>
      <c r="H226" s="67" t="s">
        <v>1370</v>
      </c>
      <c r="I226" s="67"/>
      <c r="J226" s="63" t="s">
        <v>1769</v>
      </c>
      <c r="K226" s="63" t="s">
        <v>1769</v>
      </c>
      <c r="L226" s="62" t="e">
        <f t="shared" si="6"/>
        <v>#VALUE!</v>
      </c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</row>
    <row r="227" spans="1:40" ht="15.75" thickBot="1" x14ac:dyDescent="0.3">
      <c r="A227" t="s">
        <v>241</v>
      </c>
      <c r="B227" t="s">
        <v>242</v>
      </c>
      <c r="C227" t="s">
        <v>1039</v>
      </c>
      <c r="D227" t="s">
        <v>243</v>
      </c>
      <c r="E227" s="23" t="s">
        <v>71</v>
      </c>
      <c r="F227" s="23" t="s">
        <v>27</v>
      </c>
      <c r="G227" s="23"/>
      <c r="H227" s="23" t="s">
        <v>697</v>
      </c>
      <c r="I227" s="23"/>
      <c r="J227" s="63" t="s">
        <v>1770</v>
      </c>
      <c r="K227" s="63" t="s">
        <v>1770</v>
      </c>
      <c r="L227" s="24" t="e">
        <f t="shared" si="6"/>
        <v>#VALUE!</v>
      </c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</row>
    <row r="228" spans="1:40" ht="15.75" thickBot="1" x14ac:dyDescent="0.3">
      <c r="A228" t="s">
        <v>241</v>
      </c>
      <c r="B228" t="s">
        <v>244</v>
      </c>
      <c r="C228" t="s">
        <v>1039</v>
      </c>
      <c r="D228" t="s">
        <v>243</v>
      </c>
      <c r="E228" s="23" t="s">
        <v>45</v>
      </c>
      <c r="F228" s="23" t="s">
        <v>27</v>
      </c>
      <c r="G228" s="23"/>
      <c r="H228" s="23" t="s">
        <v>684</v>
      </c>
      <c r="I228" s="23"/>
      <c r="J228" s="63" t="s">
        <v>1771</v>
      </c>
      <c r="K228" s="63" t="s">
        <v>1771</v>
      </c>
      <c r="L228" s="24" t="e">
        <f t="shared" si="6"/>
        <v>#VALUE!</v>
      </c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</row>
    <row r="229" spans="1:40" s="39" customFormat="1" ht="15.75" thickBot="1" x14ac:dyDescent="0.3">
      <c r="A229" s="39" t="s">
        <v>241</v>
      </c>
      <c r="B229" s="39" t="s">
        <v>1282</v>
      </c>
      <c r="C229" s="39" t="s">
        <v>1039</v>
      </c>
      <c r="D229" s="39" t="s">
        <v>1286</v>
      </c>
      <c r="E229" s="67" t="s">
        <v>15</v>
      </c>
      <c r="F229" s="67" t="s">
        <v>1267</v>
      </c>
      <c r="G229" s="67"/>
      <c r="H229" s="67" t="s">
        <v>1291</v>
      </c>
      <c r="I229" s="67"/>
      <c r="J229" s="63" t="s">
        <v>1772</v>
      </c>
      <c r="K229" s="63" t="s">
        <v>1772</v>
      </c>
      <c r="L229" s="62" t="e">
        <f t="shared" si="6"/>
        <v>#VALUE!</v>
      </c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</row>
    <row r="230" spans="1:40" s="39" customFormat="1" ht="15.75" thickBot="1" x14ac:dyDescent="0.3">
      <c r="A230" s="39" t="s">
        <v>241</v>
      </c>
      <c r="B230" s="39" t="s">
        <v>1373</v>
      </c>
      <c r="C230" s="39" t="s">
        <v>1039</v>
      </c>
      <c r="D230" s="39" t="s">
        <v>1374</v>
      </c>
      <c r="E230" s="67" t="s">
        <v>15</v>
      </c>
      <c r="F230" s="67" t="s">
        <v>1267</v>
      </c>
      <c r="G230" s="67"/>
      <c r="H230" s="67" t="s">
        <v>1375</v>
      </c>
      <c r="I230" s="67"/>
      <c r="J230" s="63" t="s">
        <v>1773</v>
      </c>
      <c r="K230" s="63" t="s">
        <v>1773</v>
      </c>
      <c r="L230" s="62" t="e">
        <f t="shared" si="6"/>
        <v>#VALUE!</v>
      </c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6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</row>
    <row r="231" spans="1:40" s="39" customFormat="1" ht="15.75" thickBot="1" x14ac:dyDescent="0.3">
      <c r="A231" s="39" t="s">
        <v>241</v>
      </c>
      <c r="B231" s="39" t="s">
        <v>1527</v>
      </c>
      <c r="C231" s="39" t="s">
        <v>1039</v>
      </c>
      <c r="D231" s="39" t="s">
        <v>1528</v>
      </c>
      <c r="E231" s="67" t="s">
        <v>15</v>
      </c>
      <c r="F231" s="67" t="s">
        <v>1267</v>
      </c>
      <c r="G231" s="67"/>
      <c r="H231" s="67" t="s">
        <v>1529</v>
      </c>
      <c r="I231" s="67"/>
      <c r="J231" s="63" t="s">
        <v>2326</v>
      </c>
      <c r="K231" s="63" t="s">
        <v>2326</v>
      </c>
      <c r="L231" s="62" t="e">
        <f t="shared" si="6"/>
        <v>#VALUE!</v>
      </c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6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</row>
    <row r="232" spans="1:40" s="39" customFormat="1" ht="15.75" thickBot="1" x14ac:dyDescent="0.3">
      <c r="A232" s="39" t="s">
        <v>241</v>
      </c>
      <c r="B232" s="39" t="s">
        <v>2190</v>
      </c>
      <c r="C232" s="39" t="s">
        <v>1039</v>
      </c>
      <c r="D232" s="39" t="s">
        <v>2191</v>
      </c>
      <c r="E232" s="67" t="s">
        <v>15</v>
      </c>
      <c r="F232" s="67" t="s">
        <v>1267</v>
      </c>
      <c r="G232" s="67"/>
      <c r="H232" s="67" t="s">
        <v>2243</v>
      </c>
      <c r="I232" s="67"/>
      <c r="J232" s="63" t="s">
        <v>2192</v>
      </c>
      <c r="K232" s="63" t="s">
        <v>2192</v>
      </c>
      <c r="L232" s="62" t="e">
        <f t="shared" si="6"/>
        <v>#VALUE!</v>
      </c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6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</row>
    <row r="233" spans="1:40" s="39" customFormat="1" ht="15.75" thickBot="1" x14ac:dyDescent="0.3">
      <c r="A233" s="39" t="s">
        <v>245</v>
      </c>
      <c r="B233" s="39" t="s">
        <v>938</v>
      </c>
      <c r="C233" s="39" t="s">
        <v>1040</v>
      </c>
      <c r="D233" s="39" t="s">
        <v>246</v>
      </c>
      <c r="E233" s="67" t="s">
        <v>15</v>
      </c>
      <c r="F233" s="67" t="s">
        <v>1267</v>
      </c>
      <c r="G233" s="67"/>
      <c r="H233" s="67" t="s">
        <v>698</v>
      </c>
      <c r="I233" s="67"/>
      <c r="J233" s="63" t="s">
        <v>1774</v>
      </c>
      <c r="K233" s="63" t="s">
        <v>1774</v>
      </c>
      <c r="L233" s="62" t="e">
        <f t="shared" si="6"/>
        <v>#VALUE!</v>
      </c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</row>
    <row r="234" spans="1:40" s="39" customFormat="1" ht="15.75" thickBot="1" x14ac:dyDescent="0.3">
      <c r="A234" s="39" t="s">
        <v>245</v>
      </c>
      <c r="B234" s="39" t="s">
        <v>247</v>
      </c>
      <c r="C234" s="39" t="s">
        <v>1040</v>
      </c>
      <c r="D234" s="39" t="s">
        <v>248</v>
      </c>
      <c r="E234" s="67" t="s">
        <v>71</v>
      </c>
      <c r="F234" s="67" t="s">
        <v>1267</v>
      </c>
      <c r="G234" s="67"/>
      <c r="H234" s="67" t="s">
        <v>699</v>
      </c>
      <c r="I234" s="67"/>
      <c r="J234" s="63" t="s">
        <v>1775</v>
      </c>
      <c r="K234" s="63" t="s">
        <v>1775</v>
      </c>
      <c r="L234" s="62" t="e">
        <f t="shared" si="6"/>
        <v>#VALUE!</v>
      </c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</row>
    <row r="235" spans="1:40" s="39" customFormat="1" ht="15.75" thickBot="1" x14ac:dyDescent="0.3">
      <c r="A235" s="39" t="s">
        <v>245</v>
      </c>
      <c r="B235" s="39" t="s">
        <v>249</v>
      </c>
      <c r="C235" s="39" t="s">
        <v>1040</v>
      </c>
      <c r="D235" s="39" t="s">
        <v>248</v>
      </c>
      <c r="E235" s="67" t="s">
        <v>71</v>
      </c>
      <c r="F235" s="67" t="s">
        <v>1267</v>
      </c>
      <c r="G235" s="67"/>
      <c r="H235" s="67" t="s">
        <v>700</v>
      </c>
      <c r="I235" s="67"/>
      <c r="J235" s="63" t="s">
        <v>1776</v>
      </c>
      <c r="K235" s="63" t="s">
        <v>1776</v>
      </c>
      <c r="L235" s="62" t="e">
        <f t="shared" si="6"/>
        <v>#VALUE!</v>
      </c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</row>
    <row r="236" spans="1:40" s="39" customFormat="1" ht="15.75" thickBot="1" x14ac:dyDescent="0.3">
      <c r="A236" s="39" t="s">
        <v>245</v>
      </c>
      <c r="B236" s="39" t="s">
        <v>2184</v>
      </c>
      <c r="C236" s="39" t="s">
        <v>1040</v>
      </c>
      <c r="D236" s="39" t="s">
        <v>2185</v>
      </c>
      <c r="E236" s="67" t="s">
        <v>15</v>
      </c>
      <c r="F236" s="67" t="s">
        <v>1267</v>
      </c>
      <c r="G236" s="67"/>
      <c r="H236" s="67" t="s">
        <v>2244</v>
      </c>
      <c r="I236" s="67"/>
      <c r="J236" s="63" t="s">
        <v>2186</v>
      </c>
      <c r="K236" s="63" t="s">
        <v>2186</v>
      </c>
      <c r="L236" s="62" t="e">
        <f t="shared" si="6"/>
        <v>#VALUE!</v>
      </c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</row>
    <row r="237" spans="1:40" ht="15.75" thickBot="1" x14ac:dyDescent="0.3">
      <c r="A237" t="s">
        <v>254</v>
      </c>
      <c r="B237" t="s">
        <v>939</v>
      </c>
      <c r="C237" t="s">
        <v>1039</v>
      </c>
      <c r="D237" t="s">
        <v>259</v>
      </c>
      <c r="E237" s="23" t="s">
        <v>71</v>
      </c>
      <c r="F237" s="23" t="s">
        <v>27</v>
      </c>
      <c r="G237" s="23"/>
      <c r="H237" s="23" t="s">
        <v>705</v>
      </c>
      <c r="I237" s="23"/>
      <c r="J237" s="63" t="s">
        <v>1777</v>
      </c>
      <c r="K237" s="63" t="s">
        <v>1777</v>
      </c>
      <c r="L237" s="24" t="e">
        <f t="shared" si="6"/>
        <v>#VALUE!</v>
      </c>
      <c r="M237" s="36" t="s">
        <v>2188</v>
      </c>
      <c r="N237" s="36" t="s">
        <v>2188</v>
      </c>
      <c r="O237" s="36"/>
      <c r="P237" s="36" t="s">
        <v>2188</v>
      </c>
      <c r="Q237" s="36" t="s">
        <v>2188</v>
      </c>
      <c r="R237" s="36" t="s">
        <v>2188</v>
      </c>
      <c r="S237" s="36"/>
      <c r="T237" s="36"/>
      <c r="U237" s="36" t="s">
        <v>2188</v>
      </c>
      <c r="V237" s="36" t="s">
        <v>2188</v>
      </c>
      <c r="W237" s="36" t="s">
        <v>2188</v>
      </c>
      <c r="X237" s="36" t="s">
        <v>2188</v>
      </c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</row>
    <row r="238" spans="1:40" ht="15.75" thickBot="1" x14ac:dyDescent="0.3">
      <c r="A238" t="s">
        <v>254</v>
      </c>
      <c r="B238" t="s">
        <v>940</v>
      </c>
      <c r="C238" t="s">
        <v>1039</v>
      </c>
      <c r="D238" t="s">
        <v>1059</v>
      </c>
      <c r="E238" s="23" t="s">
        <v>18</v>
      </c>
      <c r="F238" s="23" t="s">
        <v>27</v>
      </c>
      <c r="G238" s="23"/>
      <c r="H238" s="23" t="s">
        <v>707</v>
      </c>
      <c r="I238" s="23"/>
      <c r="J238" s="63" t="s">
        <v>1778</v>
      </c>
      <c r="K238" s="63" t="s">
        <v>1778</v>
      </c>
      <c r="L238" s="24" t="e">
        <f t="shared" si="6"/>
        <v>#VALUE!</v>
      </c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</row>
    <row r="239" spans="1:40" ht="15.75" thickBot="1" x14ac:dyDescent="0.3">
      <c r="A239" t="s">
        <v>254</v>
      </c>
      <c r="B239" t="s">
        <v>941</v>
      </c>
      <c r="C239" t="s">
        <v>1039</v>
      </c>
      <c r="D239" t="s">
        <v>266</v>
      </c>
      <c r="E239" s="23" t="s">
        <v>18</v>
      </c>
      <c r="F239" s="23" t="s">
        <v>27</v>
      </c>
      <c r="G239" s="23"/>
      <c r="H239" s="23" t="s">
        <v>1419</v>
      </c>
      <c r="I239" s="23"/>
      <c r="J239" s="63" t="s">
        <v>1779</v>
      </c>
      <c r="K239" s="63" t="s">
        <v>1779</v>
      </c>
      <c r="L239" s="24" t="e">
        <f t="shared" si="6"/>
        <v>#VALUE!</v>
      </c>
      <c r="M239" s="36" t="s">
        <v>2188</v>
      </c>
      <c r="N239" s="36" t="s">
        <v>2188</v>
      </c>
      <c r="O239" s="36" t="s">
        <v>2188</v>
      </c>
      <c r="P239" s="36" t="s">
        <v>2188</v>
      </c>
      <c r="Q239" s="36" t="s">
        <v>2188</v>
      </c>
      <c r="R239" s="36" t="s">
        <v>2188</v>
      </c>
      <c r="S239" s="36"/>
      <c r="T239" s="36"/>
      <c r="U239" s="36"/>
      <c r="V239" s="36" t="s">
        <v>2188</v>
      </c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</row>
    <row r="240" spans="1:40" ht="15.75" thickBot="1" x14ac:dyDescent="0.3">
      <c r="A240" t="s">
        <v>254</v>
      </c>
      <c r="B240" t="s">
        <v>942</v>
      </c>
      <c r="C240" t="s">
        <v>1039</v>
      </c>
      <c r="D240" t="s">
        <v>269</v>
      </c>
      <c r="E240" s="23" t="s">
        <v>71</v>
      </c>
      <c r="F240" s="23" t="s">
        <v>27</v>
      </c>
      <c r="G240" s="23"/>
      <c r="H240" s="23" t="s">
        <v>709</v>
      </c>
      <c r="I240" s="23"/>
      <c r="J240" s="63" t="s">
        <v>1780</v>
      </c>
      <c r="K240" s="63" t="s">
        <v>1780</v>
      </c>
      <c r="L240" s="24" t="e">
        <f t="shared" si="6"/>
        <v>#VALUE!</v>
      </c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</row>
    <row r="241" spans="1:40" ht="15.75" thickBot="1" x14ac:dyDescent="0.3">
      <c r="A241" t="s">
        <v>254</v>
      </c>
      <c r="B241" t="s">
        <v>943</v>
      </c>
      <c r="C241" t="s">
        <v>1039</v>
      </c>
      <c r="D241" t="s">
        <v>269</v>
      </c>
      <c r="E241" s="23" t="s">
        <v>71</v>
      </c>
      <c r="F241" s="23" t="s">
        <v>27</v>
      </c>
      <c r="G241" s="23"/>
      <c r="H241" s="23" t="s">
        <v>710</v>
      </c>
      <c r="I241" s="23"/>
      <c r="J241" s="63" t="s">
        <v>1781</v>
      </c>
      <c r="K241" s="63" t="s">
        <v>1781</v>
      </c>
      <c r="L241" s="24" t="e">
        <f t="shared" si="6"/>
        <v>#VALUE!</v>
      </c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</row>
    <row r="242" spans="1:40" ht="15.75" thickBot="1" x14ac:dyDescent="0.3">
      <c r="A242" t="s">
        <v>254</v>
      </c>
      <c r="B242" t="s">
        <v>944</v>
      </c>
      <c r="C242" t="s">
        <v>1039</v>
      </c>
      <c r="D242" t="s">
        <v>250</v>
      </c>
      <c r="E242" s="23" t="s">
        <v>45</v>
      </c>
      <c r="F242" s="23" t="s">
        <v>27</v>
      </c>
      <c r="G242" s="23"/>
      <c r="H242" s="23" t="s">
        <v>701</v>
      </c>
      <c r="I242" s="23"/>
      <c r="J242" s="63" t="s">
        <v>1782</v>
      </c>
      <c r="K242" s="63" t="s">
        <v>1782</v>
      </c>
      <c r="L242" s="24" t="e">
        <f t="shared" si="6"/>
        <v>#VALUE!</v>
      </c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</row>
    <row r="243" spans="1:40" ht="15.75" thickBot="1" x14ac:dyDescent="0.3">
      <c r="A243" t="s">
        <v>251</v>
      </c>
      <c r="B243" t="s">
        <v>252</v>
      </c>
      <c r="C243" t="s">
        <v>1039</v>
      </c>
      <c r="D243" t="s">
        <v>253</v>
      </c>
      <c r="E243" s="23" t="s">
        <v>18</v>
      </c>
      <c r="F243" s="23" t="s">
        <v>27</v>
      </c>
      <c r="G243" s="23"/>
      <c r="H243" s="23" t="s">
        <v>702</v>
      </c>
      <c r="I243" s="23"/>
      <c r="J243" s="63" t="s">
        <v>1783</v>
      </c>
      <c r="K243" s="63" t="s">
        <v>1783</v>
      </c>
      <c r="L243" s="24" t="e">
        <f t="shared" si="6"/>
        <v>#VALUE!</v>
      </c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</row>
    <row r="244" spans="1:40" ht="15.75" thickBot="1" x14ac:dyDescent="0.3">
      <c r="A244" t="s">
        <v>254</v>
      </c>
      <c r="B244" t="s">
        <v>255</v>
      </c>
      <c r="C244" t="s">
        <v>1039</v>
      </c>
      <c r="D244" t="s">
        <v>256</v>
      </c>
      <c r="E244" s="23" t="s">
        <v>71</v>
      </c>
      <c r="F244" s="23" t="s">
        <v>27</v>
      </c>
      <c r="G244" s="23"/>
      <c r="H244" s="23" t="s">
        <v>703</v>
      </c>
      <c r="I244" s="23"/>
      <c r="J244" s="63" t="s">
        <v>1784</v>
      </c>
      <c r="K244" s="63" t="s">
        <v>1784</v>
      </c>
      <c r="L244" s="24" t="e">
        <f t="shared" si="6"/>
        <v>#VALUE!</v>
      </c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</row>
    <row r="245" spans="1:40" ht="15.75" thickBot="1" x14ac:dyDescent="0.3">
      <c r="A245" t="s">
        <v>254</v>
      </c>
      <c r="B245" t="s">
        <v>257</v>
      </c>
      <c r="C245" t="s">
        <v>1039</v>
      </c>
      <c r="D245" t="s">
        <v>258</v>
      </c>
      <c r="E245" s="23" t="s">
        <v>45</v>
      </c>
      <c r="F245" s="23" t="s">
        <v>27</v>
      </c>
      <c r="G245" s="23"/>
      <c r="H245" s="23" t="s">
        <v>704</v>
      </c>
      <c r="I245" s="23"/>
      <c r="J245" s="63" t="s">
        <v>1785</v>
      </c>
      <c r="K245" s="63" t="s">
        <v>1785</v>
      </c>
      <c r="L245" s="24" t="e">
        <f t="shared" ref="L245:L317" si="7">(I245)/(K245+I245)</f>
        <v>#VALUE!</v>
      </c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</row>
    <row r="246" spans="1:40" ht="15.75" thickBot="1" x14ac:dyDescent="0.3">
      <c r="A246" t="s">
        <v>251</v>
      </c>
      <c r="B246" t="s">
        <v>260</v>
      </c>
      <c r="C246" t="s">
        <v>1039</v>
      </c>
      <c r="D246" t="s">
        <v>261</v>
      </c>
      <c r="E246" s="23" t="s">
        <v>18</v>
      </c>
      <c r="F246" s="23" t="s">
        <v>27</v>
      </c>
      <c r="G246" s="23"/>
      <c r="H246" s="23" t="s">
        <v>706</v>
      </c>
      <c r="I246" s="23"/>
      <c r="J246" s="63" t="s">
        <v>1786</v>
      </c>
      <c r="K246" s="63" t="s">
        <v>1786</v>
      </c>
      <c r="L246" s="24" t="e">
        <f t="shared" si="7"/>
        <v>#VALUE!</v>
      </c>
      <c r="M246" s="36"/>
      <c r="N246" s="36" t="s">
        <v>2188</v>
      </c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</row>
    <row r="247" spans="1:40" ht="15.75" thickBot="1" x14ac:dyDescent="0.3">
      <c r="A247" t="s">
        <v>254</v>
      </c>
      <c r="B247" t="s">
        <v>262</v>
      </c>
      <c r="C247" t="s">
        <v>1039</v>
      </c>
      <c r="D247" t="s">
        <v>263</v>
      </c>
      <c r="E247" s="23" t="s">
        <v>18</v>
      </c>
      <c r="F247" s="23" t="s">
        <v>27</v>
      </c>
      <c r="G247" s="23"/>
      <c r="H247" s="23" t="s">
        <v>2245</v>
      </c>
      <c r="I247" s="23"/>
      <c r="J247" s="63" t="s">
        <v>1787</v>
      </c>
      <c r="K247" s="63" t="s">
        <v>1787</v>
      </c>
      <c r="L247" s="24" t="e">
        <f t="shared" si="7"/>
        <v>#VALUE!</v>
      </c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</row>
    <row r="248" spans="1:40" ht="15.75" thickBot="1" x14ac:dyDescent="0.3">
      <c r="A248" t="s">
        <v>254</v>
      </c>
      <c r="B248" t="s">
        <v>264</v>
      </c>
      <c r="C248" t="s">
        <v>1039</v>
      </c>
      <c r="D248" t="s">
        <v>265</v>
      </c>
      <c r="E248" s="23" t="s">
        <v>18</v>
      </c>
      <c r="F248" s="23" t="s">
        <v>27</v>
      </c>
      <c r="G248" s="23"/>
      <c r="H248" s="23" t="s">
        <v>1392</v>
      </c>
      <c r="I248" s="23"/>
      <c r="J248" s="63" t="s">
        <v>1788</v>
      </c>
      <c r="K248" s="63" t="s">
        <v>1788</v>
      </c>
      <c r="L248" s="24" t="e">
        <f t="shared" si="7"/>
        <v>#VALUE!</v>
      </c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</row>
    <row r="249" spans="1:40" ht="15.75" thickBot="1" x14ac:dyDescent="0.3">
      <c r="A249" t="s">
        <v>254</v>
      </c>
      <c r="B249" t="s">
        <v>267</v>
      </c>
      <c r="C249" t="s">
        <v>1039</v>
      </c>
      <c r="D249" t="s">
        <v>268</v>
      </c>
      <c r="E249" s="23" t="s">
        <v>18</v>
      </c>
      <c r="F249" s="23" t="s">
        <v>27</v>
      </c>
      <c r="G249" s="23"/>
      <c r="H249" s="23" t="s">
        <v>708</v>
      </c>
      <c r="I249" s="23"/>
      <c r="J249" s="63" t="s">
        <v>1789</v>
      </c>
      <c r="K249" s="63" t="s">
        <v>1789</v>
      </c>
      <c r="L249" s="24" t="e">
        <f t="shared" si="7"/>
        <v>#VALUE!</v>
      </c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</row>
    <row r="250" spans="1:40" ht="15.75" thickBot="1" x14ac:dyDescent="0.3">
      <c r="A250" t="s">
        <v>254</v>
      </c>
      <c r="B250" t="s">
        <v>270</v>
      </c>
      <c r="C250" t="s">
        <v>1039</v>
      </c>
      <c r="D250" t="s">
        <v>271</v>
      </c>
      <c r="E250" s="23" t="s">
        <v>15</v>
      </c>
      <c r="F250" s="23" t="s">
        <v>27</v>
      </c>
      <c r="G250" s="23"/>
      <c r="H250" s="23" t="s">
        <v>711</v>
      </c>
      <c r="I250" s="23"/>
      <c r="J250" s="63" t="s">
        <v>1790</v>
      </c>
      <c r="K250" s="63" t="s">
        <v>1790</v>
      </c>
      <c r="L250" s="24" t="e">
        <f t="shared" si="7"/>
        <v>#VALUE!</v>
      </c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</row>
    <row r="251" spans="1:40" ht="15.75" thickBot="1" x14ac:dyDescent="0.3">
      <c r="A251" t="s">
        <v>254</v>
      </c>
      <c r="B251" s="23" t="s">
        <v>1181</v>
      </c>
      <c r="C251" s="23" t="s">
        <v>1039</v>
      </c>
      <c r="D251" t="s">
        <v>1176</v>
      </c>
      <c r="E251" s="23" t="s">
        <v>15</v>
      </c>
      <c r="F251" s="23" t="s">
        <v>27</v>
      </c>
      <c r="G251" s="23"/>
      <c r="H251" s="23" t="s">
        <v>1177</v>
      </c>
      <c r="I251" s="23"/>
      <c r="J251" s="63" t="s">
        <v>1791</v>
      </c>
      <c r="K251" s="63" t="s">
        <v>1791</v>
      </c>
      <c r="L251" s="24" t="e">
        <f t="shared" si="7"/>
        <v>#VALUE!</v>
      </c>
      <c r="M251" s="36" t="s">
        <v>2188</v>
      </c>
      <c r="N251" s="36" t="s">
        <v>2188</v>
      </c>
      <c r="O251" s="36" t="s">
        <v>2188</v>
      </c>
      <c r="P251" s="36" t="s">
        <v>2188</v>
      </c>
      <c r="Q251" s="36" t="s">
        <v>2188</v>
      </c>
      <c r="R251" s="36" t="s">
        <v>2188</v>
      </c>
      <c r="S251" s="36"/>
      <c r="T251" s="36"/>
      <c r="U251" s="36"/>
      <c r="V251" s="36" t="s">
        <v>2188</v>
      </c>
      <c r="W251" s="36" t="s">
        <v>2188</v>
      </c>
      <c r="X251" s="36" t="s">
        <v>2188</v>
      </c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</row>
    <row r="252" spans="1:40" s="44" customFormat="1" ht="15.75" thickBot="1" x14ac:dyDescent="0.3">
      <c r="A252" s="39" t="s">
        <v>274</v>
      </c>
      <c r="B252" s="39" t="s">
        <v>945</v>
      </c>
      <c r="C252" s="44" t="s">
        <v>1040</v>
      </c>
      <c r="D252" s="39" t="s">
        <v>1060</v>
      </c>
      <c r="E252" s="68" t="s">
        <v>18</v>
      </c>
      <c r="F252" s="67" t="s">
        <v>1267</v>
      </c>
      <c r="G252" s="67"/>
      <c r="H252" s="67" t="s">
        <v>2162</v>
      </c>
      <c r="I252" s="67"/>
      <c r="J252" s="63" t="s">
        <v>2327</v>
      </c>
      <c r="K252" s="63" t="s">
        <v>2327</v>
      </c>
      <c r="L252" s="24" t="e">
        <f t="shared" si="7"/>
        <v>#VALUE!</v>
      </c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45"/>
      <c r="AF252" s="45"/>
      <c r="AG252" s="36"/>
      <c r="AH252" s="45"/>
      <c r="AI252" s="45"/>
      <c r="AJ252" s="45"/>
      <c r="AK252" s="45"/>
      <c r="AL252" s="45"/>
      <c r="AM252" s="45"/>
      <c r="AN252" s="45"/>
    </row>
    <row r="253" spans="1:40" ht="15.75" thickBot="1" x14ac:dyDescent="0.3">
      <c r="A253" t="s">
        <v>216</v>
      </c>
      <c r="B253" t="s">
        <v>272</v>
      </c>
      <c r="C253" t="s">
        <v>1040</v>
      </c>
      <c r="D253" t="s">
        <v>273</v>
      </c>
      <c r="E253" s="23" t="s">
        <v>15</v>
      </c>
      <c r="F253" s="23" t="s">
        <v>1033</v>
      </c>
      <c r="G253" s="23"/>
      <c r="H253" s="23" t="s">
        <v>1041</v>
      </c>
      <c r="I253" s="23"/>
      <c r="J253" s="63" t="s">
        <v>1747</v>
      </c>
      <c r="K253" s="63" t="s">
        <v>1747</v>
      </c>
      <c r="L253" s="24" t="e">
        <f t="shared" si="7"/>
        <v>#VALUE!</v>
      </c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</row>
    <row r="254" spans="1:40" s="35" customFormat="1" ht="15.75" thickBot="1" x14ac:dyDescent="0.3">
      <c r="A254" s="35" t="s">
        <v>274</v>
      </c>
      <c r="B254" s="35" t="s">
        <v>275</v>
      </c>
      <c r="C254" s="35" t="s">
        <v>1040</v>
      </c>
      <c r="D254" s="35" t="s">
        <v>276</v>
      </c>
      <c r="E254" s="72" t="s">
        <v>15</v>
      </c>
      <c r="F254" s="72" t="s">
        <v>1267</v>
      </c>
      <c r="G254" s="72"/>
      <c r="H254" s="72" t="s">
        <v>712</v>
      </c>
      <c r="I254" s="72"/>
      <c r="J254" s="73" t="s">
        <v>1792</v>
      </c>
      <c r="K254" s="73" t="s">
        <v>1792</v>
      </c>
      <c r="L254" s="74" t="e">
        <f t="shared" si="7"/>
        <v>#VALUE!</v>
      </c>
      <c r="M254" s="64" t="s">
        <v>2188</v>
      </c>
      <c r="N254" s="64" t="s">
        <v>2188</v>
      </c>
      <c r="O254" s="64" t="s">
        <v>2188</v>
      </c>
      <c r="P254" s="64" t="s">
        <v>2188</v>
      </c>
      <c r="Q254" s="64" t="s">
        <v>2188</v>
      </c>
      <c r="R254" s="64" t="s">
        <v>2188</v>
      </c>
      <c r="S254" s="64"/>
      <c r="T254" s="64"/>
      <c r="U254" s="64" t="s">
        <v>2188</v>
      </c>
      <c r="V254" s="64" t="s">
        <v>2188</v>
      </c>
      <c r="W254" s="64" t="s">
        <v>2188</v>
      </c>
      <c r="X254" s="64" t="s">
        <v>2188</v>
      </c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spans="1:40" s="35" customFormat="1" ht="15" customHeight="1" thickBot="1" x14ac:dyDescent="0.3">
      <c r="A255" s="35" t="s">
        <v>274</v>
      </c>
      <c r="B255" s="35" t="s">
        <v>2199</v>
      </c>
      <c r="C255" s="35" t="s">
        <v>1040</v>
      </c>
      <c r="D255" s="35" t="s">
        <v>2200</v>
      </c>
      <c r="E255" s="72" t="s">
        <v>71</v>
      </c>
      <c r="F255" s="72" t="s">
        <v>1267</v>
      </c>
      <c r="G255" s="72"/>
      <c r="H255" s="72" t="s">
        <v>2201</v>
      </c>
      <c r="I255" s="72"/>
      <c r="J255" s="73" t="s">
        <v>2202</v>
      </c>
      <c r="K255" s="73" t="s">
        <v>2202</v>
      </c>
      <c r="L255" s="74" t="e">
        <f t="shared" si="7"/>
        <v>#VALUE!</v>
      </c>
      <c r="M255" s="64" t="s">
        <v>2188</v>
      </c>
      <c r="N255" s="64" t="s">
        <v>2188</v>
      </c>
      <c r="O255" s="64" t="s">
        <v>2188</v>
      </c>
      <c r="P255" s="64" t="s">
        <v>2188</v>
      </c>
      <c r="Q255" s="64" t="s">
        <v>2188</v>
      </c>
      <c r="R255" s="64" t="s">
        <v>2188</v>
      </c>
      <c r="S255" s="64"/>
      <c r="T255" s="64"/>
      <c r="U255" s="64" t="s">
        <v>2188</v>
      </c>
      <c r="V255" s="64" t="s">
        <v>2188</v>
      </c>
      <c r="W255" s="64" t="s">
        <v>2188</v>
      </c>
      <c r="X255" s="64" t="s">
        <v>2188</v>
      </c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spans="1:40" ht="15.75" thickBot="1" x14ac:dyDescent="0.3">
      <c r="A256" t="s">
        <v>274</v>
      </c>
      <c r="B256" t="s">
        <v>2203</v>
      </c>
      <c r="C256" t="s">
        <v>1040</v>
      </c>
      <c r="D256" t="s">
        <v>2200</v>
      </c>
      <c r="E256" s="23" t="s">
        <v>15</v>
      </c>
      <c r="F256" s="67" t="s">
        <v>1267</v>
      </c>
      <c r="G256" s="23"/>
      <c r="H256" s="23" t="s">
        <v>2246</v>
      </c>
      <c r="I256" s="23"/>
      <c r="J256" s="63" t="s">
        <v>2328</v>
      </c>
      <c r="K256" s="63" t="s">
        <v>2328</v>
      </c>
      <c r="L256" s="24" t="e">
        <f t="shared" si="7"/>
        <v>#VALUE!</v>
      </c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</row>
    <row r="257" spans="1:40" ht="15.75" thickBot="1" x14ac:dyDescent="0.3">
      <c r="A257" t="s">
        <v>274</v>
      </c>
      <c r="B257" t="s">
        <v>2204</v>
      </c>
      <c r="C257" t="s">
        <v>1040</v>
      </c>
      <c r="D257" t="s">
        <v>2205</v>
      </c>
      <c r="E257" s="23" t="s">
        <v>15</v>
      </c>
      <c r="F257" s="67" t="s">
        <v>1267</v>
      </c>
      <c r="G257" s="23"/>
      <c r="H257" s="23" t="s">
        <v>2329</v>
      </c>
      <c r="I257" s="23"/>
      <c r="J257" s="63" t="s">
        <v>2330</v>
      </c>
      <c r="K257" s="63" t="s">
        <v>2330</v>
      </c>
      <c r="L257" s="24" t="e">
        <f t="shared" si="7"/>
        <v>#VALUE!</v>
      </c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</row>
    <row r="258" spans="1:40" ht="15.75" thickBot="1" x14ac:dyDescent="0.3">
      <c r="A258" t="s">
        <v>12</v>
      </c>
      <c r="B258" t="s">
        <v>2128</v>
      </c>
      <c r="C258" t="s">
        <v>1040</v>
      </c>
      <c r="D258" t="s">
        <v>2129</v>
      </c>
      <c r="E258" s="23" t="s">
        <v>18</v>
      </c>
      <c r="F258" s="67" t="s">
        <v>1267</v>
      </c>
      <c r="G258" s="23"/>
      <c r="H258" s="23" t="s">
        <v>2254</v>
      </c>
      <c r="I258" s="23"/>
      <c r="J258" s="63" t="s">
        <v>2130</v>
      </c>
      <c r="K258" s="63" t="s">
        <v>2130</v>
      </c>
      <c r="L258" s="24" t="e">
        <f t="shared" si="7"/>
        <v>#VALUE!</v>
      </c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</row>
    <row r="259" spans="1:40" ht="15.75" thickBot="1" x14ac:dyDescent="0.3">
      <c r="A259" t="s">
        <v>362</v>
      </c>
      <c r="B259" t="s">
        <v>2131</v>
      </c>
      <c r="C259" t="s">
        <v>1040</v>
      </c>
      <c r="D259" t="s">
        <v>2132</v>
      </c>
      <c r="E259" s="23" t="s">
        <v>18</v>
      </c>
      <c r="F259" s="67" t="s">
        <v>1267</v>
      </c>
      <c r="G259" s="23"/>
      <c r="H259" s="23" t="s">
        <v>2255</v>
      </c>
      <c r="I259" s="23"/>
      <c r="J259" s="63" t="s">
        <v>2133</v>
      </c>
      <c r="K259" s="63" t="s">
        <v>2133</v>
      </c>
      <c r="L259" s="24" t="e">
        <f t="shared" si="7"/>
        <v>#VALUE!</v>
      </c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</row>
    <row r="260" spans="1:40" ht="15.75" thickBot="1" x14ac:dyDescent="0.3">
      <c r="A260" t="s">
        <v>948</v>
      </c>
      <c r="B260" s="65" t="s">
        <v>13</v>
      </c>
      <c r="C260" t="s">
        <v>1040</v>
      </c>
      <c r="D260" t="s">
        <v>14</v>
      </c>
      <c r="E260" s="23" t="s">
        <v>15</v>
      </c>
      <c r="F260" s="23" t="s">
        <v>1267</v>
      </c>
      <c r="G260" s="23"/>
      <c r="H260" s="23" t="s">
        <v>713</v>
      </c>
      <c r="I260" s="23"/>
      <c r="J260" s="63" t="s">
        <v>2331</v>
      </c>
      <c r="K260" s="63" t="s">
        <v>2331</v>
      </c>
      <c r="L260" s="24" t="e">
        <f t="shared" si="7"/>
        <v>#VALUE!</v>
      </c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</row>
    <row r="261" spans="1:40" s="39" customFormat="1" ht="15.75" thickBot="1" x14ac:dyDescent="0.3">
      <c r="A261" s="39" t="s">
        <v>16</v>
      </c>
      <c r="B261" t="s">
        <v>946</v>
      </c>
      <c r="C261" t="s">
        <v>1040</v>
      </c>
      <c r="D261" t="s">
        <v>947</v>
      </c>
      <c r="E261" s="23" t="s">
        <v>71</v>
      </c>
      <c r="F261" s="23" t="s">
        <v>27</v>
      </c>
      <c r="G261" s="23"/>
      <c r="H261" s="23" t="s">
        <v>1187</v>
      </c>
      <c r="I261" s="23"/>
      <c r="J261" s="63" t="s">
        <v>1793</v>
      </c>
      <c r="K261" s="63" t="s">
        <v>1793</v>
      </c>
      <c r="L261" s="62" t="e">
        <f t="shared" si="7"/>
        <v>#VALUE!</v>
      </c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</row>
    <row r="262" spans="1:40" s="39" customFormat="1" ht="15.75" thickBot="1" x14ac:dyDescent="0.3">
      <c r="A262" s="39" t="s">
        <v>16</v>
      </c>
      <c r="B262" t="s">
        <v>2247</v>
      </c>
      <c r="C262" t="s">
        <v>1040</v>
      </c>
      <c r="D262" t="s">
        <v>947</v>
      </c>
      <c r="E262" s="23" t="s">
        <v>71</v>
      </c>
      <c r="F262" s="23" t="s">
        <v>27</v>
      </c>
      <c r="G262" s="23"/>
      <c r="H262" s="23" t="s">
        <v>1188</v>
      </c>
      <c r="I262" s="23"/>
      <c r="J262" s="63" t="s">
        <v>1794</v>
      </c>
      <c r="K262" s="63" t="s">
        <v>1794</v>
      </c>
      <c r="L262" s="62" t="e">
        <f t="shared" si="7"/>
        <v>#VALUE!</v>
      </c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</row>
    <row r="263" spans="1:40" ht="15.75" thickBot="1" x14ac:dyDescent="0.3">
      <c r="A263" t="s">
        <v>16</v>
      </c>
      <c r="B263" t="s">
        <v>2248</v>
      </c>
      <c r="C263" t="s">
        <v>1040</v>
      </c>
      <c r="D263" t="s">
        <v>2249</v>
      </c>
      <c r="E263" s="23" t="s">
        <v>45</v>
      </c>
      <c r="F263" s="23" t="s">
        <v>1267</v>
      </c>
      <c r="G263" s="23"/>
      <c r="H263" s="23" t="s">
        <v>2250</v>
      </c>
      <c r="I263" s="23"/>
      <c r="J263" s="63" t="s">
        <v>2332</v>
      </c>
      <c r="K263" s="63" t="s">
        <v>2332</v>
      </c>
      <c r="L263" s="24" t="e">
        <f t="shared" si="7"/>
        <v>#VALUE!</v>
      </c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</row>
    <row r="264" spans="1:40" ht="13.5" customHeight="1" thickBot="1" x14ac:dyDescent="0.3">
      <c r="A264" t="s">
        <v>16</v>
      </c>
      <c r="B264" t="s">
        <v>2251</v>
      </c>
      <c r="C264" t="s">
        <v>1040</v>
      </c>
      <c r="D264" t="s">
        <v>2249</v>
      </c>
      <c r="E264" s="23" t="s">
        <v>15</v>
      </c>
      <c r="F264" s="23" t="s">
        <v>1267</v>
      </c>
      <c r="G264" s="23"/>
      <c r="H264" s="23" t="s">
        <v>2252</v>
      </c>
      <c r="I264" s="23"/>
      <c r="J264" s="63" t="s">
        <v>2333</v>
      </c>
      <c r="K264" s="63" t="s">
        <v>2333</v>
      </c>
      <c r="L264" s="24" t="e">
        <f t="shared" si="7"/>
        <v>#VALUE!</v>
      </c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</row>
    <row r="265" spans="1:40" ht="18" customHeight="1" thickBot="1" x14ac:dyDescent="0.3">
      <c r="A265" s="35"/>
      <c r="B265" s="69" t="s">
        <v>17</v>
      </c>
      <c r="C265" s="39" t="s">
        <v>1040</v>
      </c>
      <c r="D265" s="39" t="s">
        <v>1061</v>
      </c>
      <c r="E265" s="67" t="s">
        <v>18</v>
      </c>
      <c r="F265" s="67" t="s">
        <v>1267</v>
      </c>
      <c r="G265" s="67"/>
      <c r="H265" s="67" t="s">
        <v>1332</v>
      </c>
      <c r="I265" s="67"/>
      <c r="J265" s="63" t="s">
        <v>1795</v>
      </c>
      <c r="K265" s="63" t="s">
        <v>1795</v>
      </c>
      <c r="L265" s="24" t="e">
        <f t="shared" si="7"/>
        <v>#VALUE!</v>
      </c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 t="s">
        <v>2188</v>
      </c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</row>
    <row r="266" spans="1:40" ht="15" customHeight="1" thickBot="1" x14ac:dyDescent="0.3">
      <c r="A266" s="39"/>
      <c r="B266" s="69" t="s">
        <v>20</v>
      </c>
      <c r="C266" s="39" t="s">
        <v>1040</v>
      </c>
      <c r="D266" s="39" t="s">
        <v>21</v>
      </c>
      <c r="E266" s="67" t="s">
        <v>18</v>
      </c>
      <c r="F266" s="67" t="s">
        <v>1267</v>
      </c>
      <c r="G266" s="67"/>
      <c r="H266" s="67" t="s">
        <v>1333</v>
      </c>
      <c r="I266" s="67"/>
      <c r="J266" s="63" t="s">
        <v>1796</v>
      </c>
      <c r="K266" s="63" t="s">
        <v>1796</v>
      </c>
      <c r="L266" s="24" t="e">
        <f t="shared" si="7"/>
        <v>#VALUE!</v>
      </c>
      <c r="M266" s="36"/>
      <c r="N266" s="36" t="s">
        <v>2188</v>
      </c>
      <c r="O266" s="36" t="s">
        <v>2188</v>
      </c>
      <c r="P266" s="36" t="s">
        <v>2188</v>
      </c>
      <c r="Q266" s="36" t="s">
        <v>2188</v>
      </c>
      <c r="R266" s="36" t="s">
        <v>2188</v>
      </c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</row>
    <row r="267" spans="1:40" s="39" customFormat="1" ht="15.75" thickBot="1" x14ac:dyDescent="0.3">
      <c r="A267" s="39" t="s">
        <v>277</v>
      </c>
      <c r="B267" s="65" t="s">
        <v>22</v>
      </c>
      <c r="C267" t="s">
        <v>1040</v>
      </c>
      <c r="D267" t="s">
        <v>596</v>
      </c>
      <c r="E267" s="23" t="s">
        <v>15</v>
      </c>
      <c r="F267" s="23" t="s">
        <v>1033</v>
      </c>
      <c r="G267" s="23" t="s">
        <v>1221</v>
      </c>
      <c r="H267" s="23" t="s">
        <v>714</v>
      </c>
      <c r="I267" s="23"/>
      <c r="J267" s="63" t="s">
        <v>1797</v>
      </c>
      <c r="K267" s="63" t="s">
        <v>1797</v>
      </c>
      <c r="L267" s="62" t="e">
        <f t="shared" si="7"/>
        <v>#VALUE!</v>
      </c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</row>
    <row r="268" spans="1:40" ht="15.75" thickBot="1" x14ac:dyDescent="0.3">
      <c r="A268" t="s">
        <v>254</v>
      </c>
      <c r="B268" s="65" t="s">
        <v>23</v>
      </c>
      <c r="C268" t="s">
        <v>1040</v>
      </c>
      <c r="D268" t="s">
        <v>24</v>
      </c>
      <c r="E268" s="23" t="s">
        <v>15</v>
      </c>
      <c r="F268" s="23" t="s">
        <v>19</v>
      </c>
      <c r="G268" s="23"/>
      <c r="H268" s="23" t="s">
        <v>715</v>
      </c>
      <c r="I268" s="23"/>
      <c r="J268" s="63" t="s">
        <v>2334</v>
      </c>
      <c r="K268" s="63" t="s">
        <v>2334</v>
      </c>
      <c r="L268" s="24" t="e">
        <f t="shared" si="7"/>
        <v>#VALUE!</v>
      </c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</row>
    <row r="269" spans="1:40" ht="15.75" thickBot="1" x14ac:dyDescent="0.3">
      <c r="A269" t="s">
        <v>281</v>
      </c>
      <c r="B269" t="s">
        <v>1201</v>
      </c>
      <c r="C269" t="s">
        <v>1039</v>
      </c>
      <c r="D269" t="s">
        <v>1202</v>
      </c>
      <c r="E269" t="s">
        <v>18</v>
      </c>
      <c r="F269" t="s">
        <v>27</v>
      </c>
      <c r="G269"/>
      <c r="H269" s="23" t="s">
        <v>1239</v>
      </c>
      <c r="I269" s="23"/>
      <c r="J269" s="63" t="s">
        <v>1798</v>
      </c>
      <c r="K269" s="63" t="s">
        <v>1798</v>
      </c>
      <c r="L269" s="24" t="e">
        <f t="shared" si="7"/>
        <v>#VALUE!</v>
      </c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</row>
    <row r="270" spans="1:40" ht="15.75" thickBot="1" x14ac:dyDescent="0.3">
      <c r="A270" t="s">
        <v>277</v>
      </c>
      <c r="B270" t="s">
        <v>1275</v>
      </c>
      <c r="C270" t="s">
        <v>1039</v>
      </c>
      <c r="D270" t="s">
        <v>1278</v>
      </c>
      <c r="E270" s="23" t="s">
        <v>15</v>
      </c>
      <c r="F270" s="23" t="s">
        <v>27</v>
      </c>
      <c r="G270"/>
      <c r="H270" s="23" t="s">
        <v>1290</v>
      </c>
      <c r="I270" s="23"/>
      <c r="J270" s="63" t="s">
        <v>1799</v>
      </c>
      <c r="K270" s="63" t="s">
        <v>1799</v>
      </c>
      <c r="L270" s="24" t="e">
        <f t="shared" si="7"/>
        <v>#VALUE!</v>
      </c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</row>
    <row r="271" spans="1:40" ht="15.75" thickBot="1" x14ac:dyDescent="0.3">
      <c r="A271" t="s">
        <v>281</v>
      </c>
      <c r="B271" s="39" t="s">
        <v>949</v>
      </c>
      <c r="C271" s="39" t="s">
        <v>1039</v>
      </c>
      <c r="D271" s="39" t="s">
        <v>278</v>
      </c>
      <c r="E271" s="67" t="s">
        <v>71</v>
      </c>
      <c r="F271" s="67" t="s">
        <v>1267</v>
      </c>
      <c r="G271" s="67"/>
      <c r="H271" s="67" t="s">
        <v>716</v>
      </c>
      <c r="I271" s="67"/>
      <c r="J271" s="63" t="s">
        <v>1800</v>
      </c>
      <c r="K271" s="63" t="s">
        <v>1800</v>
      </c>
      <c r="L271" s="24" t="e">
        <f t="shared" si="7"/>
        <v>#VALUE!</v>
      </c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</row>
    <row r="272" spans="1:40" ht="15.75" thickBot="1" x14ac:dyDescent="0.3">
      <c r="A272" t="s">
        <v>281</v>
      </c>
      <c r="B272" t="s">
        <v>950</v>
      </c>
      <c r="C272" t="s">
        <v>1039</v>
      </c>
      <c r="D272" t="s">
        <v>282</v>
      </c>
      <c r="E272" s="23" t="s">
        <v>18</v>
      </c>
      <c r="F272" s="23" t="s">
        <v>1267</v>
      </c>
      <c r="G272" s="23"/>
      <c r="H272" s="23" t="s">
        <v>717</v>
      </c>
      <c r="I272" s="23"/>
      <c r="J272" s="63" t="s">
        <v>1802</v>
      </c>
      <c r="K272" s="63" t="s">
        <v>1802</v>
      </c>
      <c r="L272" s="24" t="e">
        <f t="shared" si="7"/>
        <v>#VALUE!</v>
      </c>
      <c r="M272" s="36" t="s">
        <v>2188</v>
      </c>
      <c r="N272" s="36" t="s">
        <v>2188</v>
      </c>
      <c r="O272" s="36" t="s">
        <v>2188</v>
      </c>
      <c r="P272" s="36" t="s">
        <v>2188</v>
      </c>
      <c r="Q272" s="36" t="s">
        <v>2188</v>
      </c>
      <c r="R272" s="36" t="s">
        <v>2188</v>
      </c>
      <c r="S272" s="36"/>
      <c r="T272" s="36"/>
      <c r="U272" s="36" t="s">
        <v>2188</v>
      </c>
      <c r="V272" s="36"/>
      <c r="W272" s="36"/>
      <c r="X272" s="36" t="s">
        <v>2188</v>
      </c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</row>
    <row r="273" spans="1:40" s="39" customFormat="1" ht="15.75" thickBot="1" x14ac:dyDescent="0.3">
      <c r="A273" s="39" t="s">
        <v>277</v>
      </c>
      <c r="B273" t="s">
        <v>951</v>
      </c>
      <c r="C273" t="s">
        <v>1039</v>
      </c>
      <c r="D273" t="s">
        <v>285</v>
      </c>
      <c r="E273" s="23" t="s">
        <v>18</v>
      </c>
      <c r="F273" s="23" t="s">
        <v>2335</v>
      </c>
      <c r="G273" s="23"/>
      <c r="H273" s="23" t="s">
        <v>719</v>
      </c>
      <c r="I273" s="23"/>
      <c r="J273" s="63" t="s">
        <v>1803</v>
      </c>
      <c r="K273" s="63" t="s">
        <v>1803</v>
      </c>
      <c r="L273" s="62" t="e">
        <f t="shared" si="7"/>
        <v>#VALUE!</v>
      </c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</row>
    <row r="274" spans="1:40" ht="15.75" thickBot="1" x14ac:dyDescent="0.3">
      <c r="A274" t="s">
        <v>277</v>
      </c>
      <c r="B274" s="39" t="s">
        <v>1212</v>
      </c>
      <c r="C274" s="39" t="s">
        <v>1039</v>
      </c>
      <c r="D274" s="39" t="s">
        <v>1213</v>
      </c>
      <c r="E274" s="67" t="s">
        <v>18</v>
      </c>
      <c r="F274" s="67" t="s">
        <v>1267</v>
      </c>
      <c r="G274" s="67"/>
      <c r="H274" s="67" t="s">
        <v>1214</v>
      </c>
      <c r="I274" s="67" t="s">
        <v>2275</v>
      </c>
      <c r="J274" s="63" t="s">
        <v>1805</v>
      </c>
      <c r="K274" s="63" t="s">
        <v>1805</v>
      </c>
      <c r="L274" s="24" t="e">
        <f t="shared" si="7"/>
        <v>#VALUE!</v>
      </c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</row>
    <row r="275" spans="1:40" ht="15.75" thickBot="1" x14ac:dyDescent="0.3">
      <c r="A275" t="s">
        <v>288</v>
      </c>
      <c r="B275" t="s">
        <v>1251</v>
      </c>
      <c r="C275" t="s">
        <v>1039</v>
      </c>
      <c r="D275" t="s">
        <v>1252</v>
      </c>
      <c r="E275" s="23" t="s">
        <v>18</v>
      </c>
      <c r="F275" s="23" t="s">
        <v>1033</v>
      </c>
      <c r="G275" s="23"/>
      <c r="H275" s="23" t="s">
        <v>1315</v>
      </c>
      <c r="I275" s="23"/>
      <c r="J275" s="63" t="s">
        <v>1806</v>
      </c>
      <c r="K275" s="63" t="s">
        <v>1806</v>
      </c>
      <c r="L275" s="24" t="e">
        <f t="shared" si="7"/>
        <v>#VALUE!</v>
      </c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</row>
    <row r="276" spans="1:40" ht="15.75" thickBot="1" x14ac:dyDescent="0.3">
      <c r="A276" t="s">
        <v>288</v>
      </c>
      <c r="B276" t="s">
        <v>279</v>
      </c>
      <c r="C276" t="s">
        <v>1039</v>
      </c>
      <c r="D276" t="s">
        <v>280</v>
      </c>
      <c r="E276" s="23" t="s">
        <v>71</v>
      </c>
      <c r="F276" s="23" t="s">
        <v>27</v>
      </c>
      <c r="G276" s="23"/>
      <c r="H276" s="23" t="s">
        <v>1037</v>
      </c>
      <c r="I276" s="23"/>
      <c r="J276" s="63" t="s">
        <v>1801</v>
      </c>
      <c r="K276" s="63" t="s">
        <v>1801</v>
      </c>
      <c r="L276" s="24" t="e">
        <f t="shared" si="7"/>
        <v>#VALUE!</v>
      </c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</row>
    <row r="277" spans="1:40" ht="15.75" thickBot="1" x14ac:dyDescent="0.3">
      <c r="A277" t="s">
        <v>288</v>
      </c>
      <c r="B277" t="s">
        <v>283</v>
      </c>
      <c r="C277" t="s">
        <v>1039</v>
      </c>
      <c r="D277" t="s">
        <v>284</v>
      </c>
      <c r="E277" s="23" t="s">
        <v>18</v>
      </c>
      <c r="F277" s="23" t="s">
        <v>27</v>
      </c>
      <c r="G277" s="23"/>
      <c r="H277" s="23" t="s">
        <v>718</v>
      </c>
      <c r="I277" s="23"/>
      <c r="J277" s="63" t="s">
        <v>1789</v>
      </c>
      <c r="K277" s="63" t="s">
        <v>1789</v>
      </c>
      <c r="L277" s="24" t="e">
        <f t="shared" si="7"/>
        <v>#VALUE!</v>
      </c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</row>
    <row r="278" spans="1:40" s="39" customFormat="1" ht="15.75" thickBot="1" x14ac:dyDescent="0.3">
      <c r="A278" s="39" t="s">
        <v>288</v>
      </c>
      <c r="B278" t="s">
        <v>286</v>
      </c>
      <c r="C278" t="s">
        <v>1039</v>
      </c>
      <c r="D278" t="s">
        <v>287</v>
      </c>
      <c r="E278" s="23" t="s">
        <v>15</v>
      </c>
      <c r="F278" s="23" t="s">
        <v>1033</v>
      </c>
      <c r="G278" s="23"/>
      <c r="H278" s="23" t="s">
        <v>720</v>
      </c>
      <c r="I278" s="23"/>
      <c r="J278" s="63" t="s">
        <v>1804</v>
      </c>
      <c r="K278" s="63" t="s">
        <v>1804</v>
      </c>
      <c r="L278" s="62" t="e">
        <f t="shared" si="7"/>
        <v>#VALUE!</v>
      </c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 t="s">
        <v>2188</v>
      </c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</row>
    <row r="279" spans="1:40" ht="15.75" thickBot="1" x14ac:dyDescent="0.3">
      <c r="A279" t="s">
        <v>288</v>
      </c>
      <c r="B279" t="s">
        <v>289</v>
      </c>
      <c r="C279" t="s">
        <v>1039</v>
      </c>
      <c r="D279" t="s">
        <v>290</v>
      </c>
      <c r="E279" s="23" t="s">
        <v>71</v>
      </c>
      <c r="F279" s="23" t="s">
        <v>27</v>
      </c>
      <c r="G279" s="23"/>
      <c r="H279" s="23" t="s">
        <v>721</v>
      </c>
      <c r="I279" s="23" t="s">
        <v>2275</v>
      </c>
      <c r="J279" s="63" t="s">
        <v>1807</v>
      </c>
      <c r="K279" s="63" t="s">
        <v>1807</v>
      </c>
      <c r="L279" s="62" t="e">
        <f t="shared" si="7"/>
        <v>#VALUE!</v>
      </c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</row>
    <row r="280" spans="1:40" ht="15.75" thickBot="1" x14ac:dyDescent="0.3">
      <c r="A280" t="s">
        <v>288</v>
      </c>
      <c r="B280" t="s">
        <v>291</v>
      </c>
      <c r="C280" t="s">
        <v>1039</v>
      </c>
      <c r="D280" t="s">
        <v>292</v>
      </c>
      <c r="E280" s="23" t="s">
        <v>18</v>
      </c>
      <c r="F280" s="23" t="s">
        <v>27</v>
      </c>
      <c r="G280" s="23"/>
      <c r="H280" s="23" t="s">
        <v>2253</v>
      </c>
      <c r="I280" s="23"/>
      <c r="J280" s="63" t="s">
        <v>1808</v>
      </c>
      <c r="K280" s="63" t="s">
        <v>1808</v>
      </c>
      <c r="L280" s="62" t="e">
        <f t="shared" si="7"/>
        <v>#VALUE!</v>
      </c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</row>
    <row r="281" spans="1:40" ht="15.75" thickBot="1" x14ac:dyDescent="0.3">
      <c r="A281" t="s">
        <v>2127</v>
      </c>
      <c r="B281" t="s">
        <v>293</v>
      </c>
      <c r="C281" t="s">
        <v>1039</v>
      </c>
      <c r="D281" t="s">
        <v>294</v>
      </c>
      <c r="E281" s="23" t="s">
        <v>18</v>
      </c>
      <c r="F281" s="23" t="s">
        <v>1033</v>
      </c>
      <c r="G281" s="23"/>
      <c r="H281" s="23" t="s">
        <v>1434</v>
      </c>
      <c r="I281" s="23"/>
      <c r="J281" s="63" t="s">
        <v>1809</v>
      </c>
      <c r="K281" s="63" t="s">
        <v>1809</v>
      </c>
      <c r="L281" s="62" t="e">
        <f t="shared" si="7"/>
        <v>#VALUE!</v>
      </c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</row>
    <row r="282" spans="1:40" ht="15.75" thickBot="1" x14ac:dyDescent="0.3">
      <c r="A282" t="s">
        <v>2127</v>
      </c>
      <c r="B282" s="39" t="s">
        <v>295</v>
      </c>
      <c r="C282" s="39" t="s">
        <v>1039</v>
      </c>
      <c r="D282" s="39" t="s">
        <v>296</v>
      </c>
      <c r="E282" s="67" t="s">
        <v>18</v>
      </c>
      <c r="F282" s="67" t="s">
        <v>1267</v>
      </c>
      <c r="G282" s="67"/>
      <c r="H282" s="67" t="s">
        <v>1435</v>
      </c>
      <c r="I282" s="67"/>
      <c r="J282" s="63" t="s">
        <v>1810</v>
      </c>
      <c r="K282" s="63" t="s">
        <v>1810</v>
      </c>
      <c r="L282" s="62" t="e">
        <f t="shared" si="7"/>
        <v>#VALUE!</v>
      </c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</row>
    <row r="283" spans="1:40" ht="15.75" thickBot="1" x14ac:dyDescent="0.3">
      <c r="A283" t="s">
        <v>297</v>
      </c>
      <c r="B283" t="s">
        <v>1429</v>
      </c>
      <c r="C283" t="s">
        <v>1039</v>
      </c>
      <c r="D283" t="s">
        <v>1428</v>
      </c>
      <c r="E283" s="23" t="s">
        <v>71</v>
      </c>
      <c r="F283" s="23" t="s">
        <v>27</v>
      </c>
      <c r="G283" s="23"/>
      <c r="H283" s="23" t="s">
        <v>1430</v>
      </c>
      <c r="I283" s="23" t="s">
        <v>2275</v>
      </c>
      <c r="J283" s="63" t="s">
        <v>1811</v>
      </c>
      <c r="K283" s="63" t="s">
        <v>1811</v>
      </c>
      <c r="L283" s="24" t="e">
        <f t="shared" si="7"/>
        <v>#VALUE!</v>
      </c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</row>
    <row r="284" spans="1:40" s="39" customFormat="1" ht="15.75" thickBot="1" x14ac:dyDescent="0.3">
      <c r="A284" s="39" t="s">
        <v>297</v>
      </c>
      <c r="B284" t="s">
        <v>1431</v>
      </c>
      <c r="C284" t="s">
        <v>1039</v>
      </c>
      <c r="D284" t="s">
        <v>1428</v>
      </c>
      <c r="E284" s="23" t="s">
        <v>71</v>
      </c>
      <c r="F284" s="23" t="s">
        <v>27</v>
      </c>
      <c r="G284" s="23"/>
      <c r="H284" s="23" t="s">
        <v>1436</v>
      </c>
      <c r="I284" s="23" t="s">
        <v>2275</v>
      </c>
      <c r="J284" s="63" t="s">
        <v>1812</v>
      </c>
      <c r="K284" s="63" t="s">
        <v>1812</v>
      </c>
      <c r="L284" s="62" t="e">
        <f t="shared" si="7"/>
        <v>#VALUE!</v>
      </c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</row>
    <row r="285" spans="1:40" ht="15.75" thickBot="1" x14ac:dyDescent="0.3">
      <c r="A285" t="s">
        <v>297</v>
      </c>
      <c r="B285" t="s">
        <v>952</v>
      </c>
      <c r="C285" t="s">
        <v>1039</v>
      </c>
      <c r="D285" t="s">
        <v>300</v>
      </c>
      <c r="E285" s="23" t="s">
        <v>18</v>
      </c>
      <c r="F285" s="23" t="s">
        <v>27</v>
      </c>
      <c r="G285" s="23"/>
      <c r="H285" s="23" t="s">
        <v>722</v>
      </c>
      <c r="I285" s="23"/>
      <c r="J285" s="63" t="s">
        <v>1813</v>
      </c>
      <c r="K285" s="63" t="s">
        <v>1813</v>
      </c>
      <c r="L285" s="24" t="e">
        <f t="shared" si="7"/>
        <v>#VALUE!</v>
      </c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</row>
    <row r="286" spans="1:40" s="39" customFormat="1" ht="15.75" thickBot="1" x14ac:dyDescent="0.3">
      <c r="A286" s="39" t="s">
        <v>297</v>
      </c>
      <c r="B286" s="39" t="s">
        <v>298</v>
      </c>
      <c r="C286" s="39" t="s">
        <v>1039</v>
      </c>
      <c r="D286" s="39" t="s">
        <v>299</v>
      </c>
      <c r="E286" s="67" t="s">
        <v>15</v>
      </c>
      <c r="F286" s="67" t="s">
        <v>1267</v>
      </c>
      <c r="G286" s="67"/>
      <c r="H286" s="67" t="s">
        <v>1326</v>
      </c>
      <c r="I286" s="67"/>
      <c r="J286" s="63" t="s">
        <v>1819</v>
      </c>
      <c r="K286" s="63" t="s">
        <v>1819</v>
      </c>
      <c r="L286" s="62" t="e">
        <f t="shared" si="7"/>
        <v>#VALUE!</v>
      </c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</row>
    <row r="287" spans="1:40" s="39" customFormat="1" ht="15.75" thickBot="1" x14ac:dyDescent="0.3">
      <c r="A287" s="39" t="s">
        <v>307</v>
      </c>
      <c r="B287" s="39" t="s">
        <v>301</v>
      </c>
      <c r="C287" s="39" t="s">
        <v>1039</v>
      </c>
      <c r="D287" s="39" t="s">
        <v>302</v>
      </c>
      <c r="E287" s="67" t="s">
        <v>18</v>
      </c>
      <c r="F287" s="67" t="s">
        <v>1267</v>
      </c>
      <c r="G287" s="67"/>
      <c r="H287" s="67" t="s">
        <v>1327</v>
      </c>
      <c r="I287" s="67"/>
      <c r="J287" s="63" t="s">
        <v>1814</v>
      </c>
      <c r="K287" s="63" t="s">
        <v>1814</v>
      </c>
      <c r="L287" s="62" t="e">
        <f t="shared" si="7"/>
        <v>#VALUE!</v>
      </c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</row>
    <row r="288" spans="1:40" ht="15.75" thickBot="1" x14ac:dyDescent="0.3">
      <c r="A288" t="s">
        <v>51</v>
      </c>
      <c r="B288" t="s">
        <v>303</v>
      </c>
      <c r="C288" t="s">
        <v>1039</v>
      </c>
      <c r="D288" t="s">
        <v>304</v>
      </c>
      <c r="E288" s="23" t="s">
        <v>18</v>
      </c>
      <c r="F288" s="23" t="s">
        <v>1033</v>
      </c>
      <c r="G288" s="23" t="s">
        <v>1222</v>
      </c>
      <c r="H288" s="23" t="s">
        <v>723</v>
      </c>
      <c r="I288" s="23"/>
      <c r="J288" s="63" t="s">
        <v>1815</v>
      </c>
      <c r="K288" s="63" t="s">
        <v>1815</v>
      </c>
      <c r="L288" s="24" t="e">
        <f t="shared" si="7"/>
        <v>#VALUE!</v>
      </c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</row>
    <row r="289" spans="1:40" ht="15.75" thickBot="1" x14ac:dyDescent="0.3">
      <c r="A289" t="s">
        <v>297</v>
      </c>
      <c r="B289" s="39" t="s">
        <v>305</v>
      </c>
      <c r="C289" s="39" t="s">
        <v>1039</v>
      </c>
      <c r="D289" s="39" t="s">
        <v>306</v>
      </c>
      <c r="E289" s="67" t="s">
        <v>18</v>
      </c>
      <c r="F289" s="67" t="s">
        <v>1267</v>
      </c>
      <c r="G289" s="67"/>
      <c r="H289" s="67" t="s">
        <v>1317</v>
      </c>
      <c r="I289" s="67"/>
      <c r="J289" s="63" t="s">
        <v>1816</v>
      </c>
      <c r="K289" s="63" t="s">
        <v>1816</v>
      </c>
      <c r="L289" s="24" t="e">
        <f t="shared" si="7"/>
        <v>#VALUE!</v>
      </c>
      <c r="M289" s="36" t="s">
        <v>2188</v>
      </c>
      <c r="N289" s="36" t="s">
        <v>2188</v>
      </c>
      <c r="O289" s="36" t="s">
        <v>2188</v>
      </c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</row>
    <row r="290" spans="1:40" s="39" customFormat="1" ht="15.75" thickBot="1" x14ac:dyDescent="0.3">
      <c r="A290" s="39" t="s">
        <v>297</v>
      </c>
      <c r="B290" s="39" t="s">
        <v>308</v>
      </c>
      <c r="C290" s="39" t="s">
        <v>1039</v>
      </c>
      <c r="D290" s="39" t="s">
        <v>309</v>
      </c>
      <c r="E290" s="67" t="s">
        <v>18</v>
      </c>
      <c r="F290" s="67" t="s">
        <v>1267</v>
      </c>
      <c r="G290" s="67"/>
      <c r="H290" s="70" t="s">
        <v>1318</v>
      </c>
      <c r="I290" s="70"/>
      <c r="J290" s="63" t="s">
        <v>1817</v>
      </c>
      <c r="K290" s="63" t="s">
        <v>1817</v>
      </c>
      <c r="L290" s="62" t="e">
        <f t="shared" si="7"/>
        <v>#VALUE!</v>
      </c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</row>
    <row r="291" spans="1:40" s="39" customFormat="1" ht="15.75" thickBot="1" x14ac:dyDescent="0.3">
      <c r="A291" s="39" t="s">
        <v>297</v>
      </c>
      <c r="B291" t="s">
        <v>310</v>
      </c>
      <c r="C291" t="s">
        <v>1039</v>
      </c>
      <c r="D291" t="s">
        <v>311</v>
      </c>
      <c r="E291" s="23" t="s">
        <v>18</v>
      </c>
      <c r="F291" s="23" t="s">
        <v>27</v>
      </c>
      <c r="G291" s="23"/>
      <c r="H291" s="23" t="s">
        <v>724</v>
      </c>
      <c r="I291" s="23"/>
      <c r="J291" s="63" t="s">
        <v>1622</v>
      </c>
      <c r="K291" s="63" t="s">
        <v>1622</v>
      </c>
      <c r="L291" s="62" t="e">
        <f t="shared" si="7"/>
        <v>#VALUE!</v>
      </c>
      <c r="M291" s="36" t="s">
        <v>2188</v>
      </c>
      <c r="N291" s="36" t="s">
        <v>2188</v>
      </c>
      <c r="O291" s="36" t="s">
        <v>2188</v>
      </c>
      <c r="P291" s="36"/>
      <c r="Q291" s="36"/>
      <c r="R291" s="36"/>
      <c r="S291" s="36"/>
      <c r="T291" s="36"/>
      <c r="U291" s="36"/>
      <c r="V291" s="36"/>
      <c r="W291" s="36"/>
      <c r="X291" s="36" t="s">
        <v>2188</v>
      </c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</row>
    <row r="292" spans="1:40" s="39" customFormat="1" ht="14.25" customHeight="1" thickBot="1" x14ac:dyDescent="0.3">
      <c r="A292" s="39" t="s">
        <v>297</v>
      </c>
      <c r="B292" t="s">
        <v>312</v>
      </c>
      <c r="C292" t="s">
        <v>1039</v>
      </c>
      <c r="D292" t="s">
        <v>313</v>
      </c>
      <c r="E292" s="23" t="s">
        <v>18</v>
      </c>
      <c r="F292" s="23" t="s">
        <v>27</v>
      </c>
      <c r="G292" s="23"/>
      <c r="H292" s="23" t="s">
        <v>725</v>
      </c>
      <c r="I292" s="23"/>
      <c r="J292" s="63" t="s">
        <v>1818</v>
      </c>
      <c r="K292" s="63" t="s">
        <v>1818</v>
      </c>
      <c r="L292" s="62" t="e">
        <f t="shared" si="7"/>
        <v>#VALUE!</v>
      </c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</row>
    <row r="293" spans="1:40" s="39" customFormat="1" ht="15.75" thickBot="1" x14ac:dyDescent="0.3">
      <c r="A293" s="39" t="s">
        <v>1474</v>
      </c>
      <c r="B293" s="39" t="s">
        <v>314</v>
      </c>
      <c r="C293" s="39" t="s">
        <v>1039</v>
      </c>
      <c r="D293" s="39" t="s">
        <v>315</v>
      </c>
      <c r="E293" s="67" t="s">
        <v>15</v>
      </c>
      <c r="F293" s="67" t="s">
        <v>1267</v>
      </c>
      <c r="G293" s="67"/>
      <c r="H293" s="67" t="s">
        <v>726</v>
      </c>
      <c r="I293" s="67"/>
      <c r="J293" s="63" t="s">
        <v>1820</v>
      </c>
      <c r="K293" s="63" t="s">
        <v>1820</v>
      </c>
      <c r="L293" s="62" t="e">
        <f t="shared" si="7"/>
        <v>#VALUE!</v>
      </c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</row>
    <row r="294" spans="1:40" s="39" customFormat="1" ht="15.75" thickBot="1" x14ac:dyDescent="0.3">
      <c r="A294" s="39" t="s">
        <v>1474</v>
      </c>
      <c r="B294" s="39" t="s">
        <v>1298</v>
      </c>
      <c r="C294" s="39" t="s">
        <v>1039</v>
      </c>
      <c r="D294" s="39" t="s">
        <v>1299</v>
      </c>
      <c r="E294" s="67" t="s">
        <v>15</v>
      </c>
      <c r="F294" s="67" t="s">
        <v>1267</v>
      </c>
      <c r="G294" s="67"/>
      <c r="H294" s="67" t="s">
        <v>1313</v>
      </c>
      <c r="I294" s="67"/>
      <c r="J294" s="63" t="s">
        <v>1821</v>
      </c>
      <c r="K294" s="63" t="s">
        <v>1821</v>
      </c>
      <c r="L294" s="62" t="e">
        <f t="shared" si="7"/>
        <v>#VALUE!</v>
      </c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</row>
    <row r="295" spans="1:40" ht="15.75" thickBot="1" x14ac:dyDescent="0.3">
      <c r="A295" t="s">
        <v>318</v>
      </c>
      <c r="B295" s="39" t="s">
        <v>1473</v>
      </c>
      <c r="C295" s="39" t="s">
        <v>1039</v>
      </c>
      <c r="D295" s="39" t="s">
        <v>1475</v>
      </c>
      <c r="E295" s="67" t="s">
        <v>18</v>
      </c>
      <c r="F295" s="67" t="s">
        <v>1267</v>
      </c>
      <c r="G295" s="67"/>
      <c r="H295" s="67" t="s">
        <v>1476</v>
      </c>
      <c r="I295" s="67"/>
      <c r="J295" s="63" t="s">
        <v>1822</v>
      </c>
      <c r="K295" s="63" t="s">
        <v>1822</v>
      </c>
      <c r="L295" s="24" t="e">
        <f t="shared" si="7"/>
        <v>#VALUE!</v>
      </c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</row>
    <row r="296" spans="1:40" ht="15.75" thickBot="1" x14ac:dyDescent="0.3">
      <c r="A296" t="s">
        <v>318</v>
      </c>
      <c r="B296" s="39" t="s">
        <v>1583</v>
      </c>
      <c r="C296" s="39" t="s">
        <v>1039</v>
      </c>
      <c r="D296" s="39" t="s">
        <v>1584</v>
      </c>
      <c r="E296" s="67" t="s">
        <v>18</v>
      </c>
      <c r="F296" s="67" t="s">
        <v>27</v>
      </c>
      <c r="G296" s="67"/>
      <c r="H296" s="67" t="s">
        <v>1585</v>
      </c>
      <c r="I296" s="67"/>
      <c r="J296" s="63" t="s">
        <v>2112</v>
      </c>
      <c r="K296" s="63" t="s">
        <v>2112</v>
      </c>
      <c r="L296" s="24" t="e">
        <f t="shared" si="7"/>
        <v>#VALUE!</v>
      </c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</row>
    <row r="297" spans="1:40" ht="15.75" thickBot="1" x14ac:dyDescent="0.3">
      <c r="A297" t="s">
        <v>318</v>
      </c>
      <c r="B297" s="23" t="s">
        <v>1304</v>
      </c>
      <c r="C297" t="s">
        <v>1040</v>
      </c>
      <c r="D297" t="s">
        <v>1305</v>
      </c>
      <c r="E297" s="23" t="s">
        <v>18</v>
      </c>
      <c r="F297" s="23" t="s">
        <v>1267</v>
      </c>
      <c r="G297" s="72"/>
      <c r="H297" s="23" t="s">
        <v>1395</v>
      </c>
      <c r="I297" s="72"/>
      <c r="J297" s="75" t="s">
        <v>1617</v>
      </c>
      <c r="K297" s="75" t="s">
        <v>1617</v>
      </c>
      <c r="L297" s="24" t="e">
        <f t="shared" si="7"/>
        <v>#VALUE!</v>
      </c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</row>
    <row r="298" spans="1:40" ht="15.75" thickBot="1" x14ac:dyDescent="0.3">
      <c r="A298" t="s">
        <v>318</v>
      </c>
      <c r="B298" s="67" t="s">
        <v>1354</v>
      </c>
      <c r="C298" s="39" t="s">
        <v>1040</v>
      </c>
      <c r="D298" s="39" t="s">
        <v>1355</v>
      </c>
      <c r="E298" s="67" t="s">
        <v>18</v>
      </c>
      <c r="F298" s="67" t="s">
        <v>1267</v>
      </c>
      <c r="G298" s="67"/>
      <c r="H298" s="67" t="s">
        <v>1356</v>
      </c>
      <c r="I298" s="67"/>
      <c r="J298" s="63" t="s">
        <v>2080</v>
      </c>
      <c r="K298" s="63" t="s">
        <v>2080</v>
      </c>
      <c r="L298" s="24" t="e">
        <f t="shared" si="7"/>
        <v>#VALUE!</v>
      </c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</row>
    <row r="299" spans="1:40" ht="15.75" thickBot="1" x14ac:dyDescent="0.3">
      <c r="A299" t="s">
        <v>318</v>
      </c>
      <c r="B299" s="67" t="s">
        <v>2072</v>
      </c>
      <c r="C299" s="39" t="s">
        <v>1040</v>
      </c>
      <c r="D299" s="39" t="s">
        <v>2073</v>
      </c>
      <c r="E299" s="67" t="s">
        <v>18</v>
      </c>
      <c r="F299" s="67" t="s">
        <v>1267</v>
      </c>
      <c r="G299" s="67"/>
      <c r="H299" s="67" t="s">
        <v>2230</v>
      </c>
      <c r="I299" s="67"/>
      <c r="J299" s="63" t="s">
        <v>2074</v>
      </c>
      <c r="K299" s="63" t="s">
        <v>2074</v>
      </c>
      <c r="L299" s="24" t="e">
        <f t="shared" si="7"/>
        <v>#VALUE!</v>
      </c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</row>
    <row r="300" spans="1:40" ht="15.75" thickBot="1" x14ac:dyDescent="0.3">
      <c r="A300" t="s">
        <v>40</v>
      </c>
      <c r="B300" t="s">
        <v>316</v>
      </c>
      <c r="C300" t="s">
        <v>1040</v>
      </c>
      <c r="D300" t="s">
        <v>317</v>
      </c>
      <c r="E300" s="23" t="s">
        <v>15</v>
      </c>
      <c r="F300" s="23" t="s">
        <v>27</v>
      </c>
      <c r="G300" s="23"/>
      <c r="H300" s="23" t="s">
        <v>727</v>
      </c>
      <c r="I300" s="23"/>
      <c r="J300" s="63" t="s">
        <v>1823</v>
      </c>
      <c r="K300" s="63" t="s">
        <v>1823</v>
      </c>
      <c r="L300" s="24" t="e">
        <f t="shared" si="7"/>
        <v>#VALUE!</v>
      </c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</row>
    <row r="301" spans="1:40" ht="15.75" thickBot="1" x14ac:dyDescent="0.3">
      <c r="A301" t="s">
        <v>40</v>
      </c>
      <c r="B301" t="s">
        <v>319</v>
      </c>
      <c r="C301" t="s">
        <v>1040</v>
      </c>
      <c r="D301" t="s">
        <v>320</v>
      </c>
      <c r="E301" s="23" t="s">
        <v>71</v>
      </c>
      <c r="F301" s="23" t="s">
        <v>27</v>
      </c>
      <c r="G301" s="23"/>
      <c r="H301" s="23" t="s">
        <v>728</v>
      </c>
      <c r="I301" s="23"/>
      <c r="J301" s="63" t="s">
        <v>1824</v>
      </c>
      <c r="K301" s="63" t="s">
        <v>1824</v>
      </c>
      <c r="L301" s="24" t="e">
        <f t="shared" si="7"/>
        <v>#VALUE!</v>
      </c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</row>
    <row r="302" spans="1:40" ht="15.75" thickBot="1" x14ac:dyDescent="0.3">
      <c r="A302" t="s">
        <v>40</v>
      </c>
      <c r="B302" t="s">
        <v>321</v>
      </c>
      <c r="C302" t="s">
        <v>1040</v>
      </c>
      <c r="D302" t="s">
        <v>320</v>
      </c>
      <c r="E302" s="23" t="s">
        <v>71</v>
      </c>
      <c r="F302" s="23" t="s">
        <v>27</v>
      </c>
      <c r="G302" s="23"/>
      <c r="H302" s="23" t="s">
        <v>729</v>
      </c>
      <c r="I302" s="23"/>
      <c r="J302" s="63" t="s">
        <v>1825</v>
      </c>
      <c r="K302" s="63" t="s">
        <v>1825</v>
      </c>
      <c r="L302" s="24" t="e">
        <f t="shared" si="7"/>
        <v>#VALUE!</v>
      </c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</row>
    <row r="303" spans="1:40" ht="15.75" thickBot="1" x14ac:dyDescent="0.3">
      <c r="A303" t="s">
        <v>173</v>
      </c>
      <c r="B303" t="s">
        <v>322</v>
      </c>
      <c r="C303" t="s">
        <v>1040</v>
      </c>
      <c r="D303" t="s">
        <v>323</v>
      </c>
      <c r="E303" s="23" t="s">
        <v>71</v>
      </c>
      <c r="F303" s="23" t="s">
        <v>27</v>
      </c>
      <c r="G303" s="23"/>
      <c r="H303" s="23" t="s">
        <v>730</v>
      </c>
      <c r="I303" s="23"/>
      <c r="J303" s="63" t="s">
        <v>1826</v>
      </c>
      <c r="K303" s="63" t="s">
        <v>1826</v>
      </c>
      <c r="L303" s="24" t="e">
        <f t="shared" si="7"/>
        <v>#VALUE!</v>
      </c>
      <c r="M303" s="36"/>
      <c r="N303" s="36"/>
      <c r="O303" s="36"/>
      <c r="P303" s="36"/>
      <c r="Q303" s="36"/>
      <c r="R303" s="36"/>
      <c r="S303" s="36"/>
      <c r="T303" s="36"/>
      <c r="U303" s="36"/>
      <c r="V303" s="36" t="s">
        <v>2188</v>
      </c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</row>
    <row r="304" spans="1:40" s="35" customFormat="1" ht="21" customHeight="1" thickBot="1" x14ac:dyDescent="0.3">
      <c r="A304" s="35" t="s">
        <v>173</v>
      </c>
      <c r="B304" t="s">
        <v>324</v>
      </c>
      <c r="C304" t="s">
        <v>1040</v>
      </c>
      <c r="D304" t="s">
        <v>323</v>
      </c>
      <c r="E304" s="23" t="s">
        <v>71</v>
      </c>
      <c r="F304" s="23" t="s">
        <v>27</v>
      </c>
      <c r="G304" s="23"/>
      <c r="H304" s="23" t="s">
        <v>731</v>
      </c>
      <c r="I304" s="23"/>
      <c r="J304" s="63" t="s">
        <v>1827</v>
      </c>
      <c r="K304" s="63" t="s">
        <v>1827</v>
      </c>
      <c r="L304" s="24" t="e">
        <f t="shared" si="7"/>
        <v>#VALUE!</v>
      </c>
      <c r="M304" s="64" t="s">
        <v>2188</v>
      </c>
      <c r="N304" s="64" t="s">
        <v>2188</v>
      </c>
      <c r="O304" s="64" t="s">
        <v>2188</v>
      </c>
      <c r="P304" s="64" t="s">
        <v>2188</v>
      </c>
      <c r="Q304" s="64" t="s">
        <v>2188</v>
      </c>
      <c r="R304" s="64" t="s">
        <v>2188</v>
      </c>
      <c r="S304" s="64"/>
      <c r="T304" s="64"/>
      <c r="U304" s="64" t="s">
        <v>2188</v>
      </c>
      <c r="V304" s="64" t="s">
        <v>2188</v>
      </c>
      <c r="W304" s="64" t="s">
        <v>2188</v>
      </c>
      <c r="X304" s="64" t="s">
        <v>2188</v>
      </c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spans="1:40" ht="15.75" thickBot="1" x14ac:dyDescent="0.3">
      <c r="A305" t="s">
        <v>173</v>
      </c>
      <c r="B305" t="s">
        <v>326</v>
      </c>
      <c r="C305" t="s">
        <v>1039</v>
      </c>
      <c r="D305" t="s">
        <v>327</v>
      </c>
      <c r="E305" s="23" t="s">
        <v>15</v>
      </c>
      <c r="F305" s="23" t="s">
        <v>27</v>
      </c>
      <c r="G305" s="23"/>
      <c r="H305" s="23" t="s">
        <v>734</v>
      </c>
      <c r="I305" s="23"/>
      <c r="J305" s="63" t="s">
        <v>1828</v>
      </c>
      <c r="K305" s="63" t="s">
        <v>1828</v>
      </c>
      <c r="L305" s="24" t="e">
        <f t="shared" si="7"/>
        <v>#VALUE!</v>
      </c>
      <c r="M305" s="36"/>
      <c r="N305" s="36"/>
      <c r="O305" s="36"/>
      <c r="P305" s="36"/>
      <c r="Q305" s="36"/>
      <c r="R305" s="36"/>
      <c r="S305" s="36"/>
      <c r="T305" s="36"/>
      <c r="U305" s="36"/>
      <c r="V305" s="36" t="s">
        <v>2188</v>
      </c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</row>
    <row r="306" spans="1:40" s="35" customFormat="1" ht="15.75" thickBot="1" x14ac:dyDescent="0.3">
      <c r="A306" s="35" t="s">
        <v>201</v>
      </c>
      <c r="B306" t="s">
        <v>328</v>
      </c>
      <c r="C306" t="s">
        <v>1039</v>
      </c>
      <c r="D306" t="s">
        <v>327</v>
      </c>
      <c r="E306" s="23" t="s">
        <v>71</v>
      </c>
      <c r="F306" s="23" t="s">
        <v>27</v>
      </c>
      <c r="G306" s="23"/>
      <c r="H306" s="23" t="s">
        <v>735</v>
      </c>
      <c r="I306" s="23"/>
      <c r="J306" s="63" t="s">
        <v>1829</v>
      </c>
      <c r="K306" s="63" t="s">
        <v>1829</v>
      </c>
      <c r="L306" s="74" t="e">
        <f t="shared" si="7"/>
        <v>#VALUE!</v>
      </c>
      <c r="M306" s="64"/>
      <c r="N306" s="64"/>
      <c r="O306" s="64"/>
      <c r="P306" s="64"/>
      <c r="Q306" s="64"/>
      <c r="R306" s="64"/>
      <c r="S306" s="64"/>
      <c r="T306" s="64"/>
      <c r="U306" s="64"/>
      <c r="V306" s="64" t="s">
        <v>2188</v>
      </c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spans="1:40" ht="15.75" thickBot="1" x14ac:dyDescent="0.3">
      <c r="A307" t="s">
        <v>201</v>
      </c>
      <c r="B307" t="s">
        <v>329</v>
      </c>
      <c r="C307" t="s">
        <v>1040</v>
      </c>
      <c r="D307" t="s">
        <v>330</v>
      </c>
      <c r="E307" s="23" t="s">
        <v>15</v>
      </c>
      <c r="F307" s="23" t="s">
        <v>27</v>
      </c>
      <c r="G307" s="23"/>
      <c r="H307" s="23" t="s">
        <v>736</v>
      </c>
      <c r="I307" s="23"/>
      <c r="J307" s="63" t="s">
        <v>1831</v>
      </c>
      <c r="K307" s="63" t="s">
        <v>1831</v>
      </c>
      <c r="L307" s="24" t="e">
        <f t="shared" si="7"/>
        <v>#VALUE!</v>
      </c>
      <c r="M307" s="36"/>
      <c r="N307" s="36"/>
      <c r="O307" s="36"/>
      <c r="P307" s="36"/>
      <c r="Q307" s="36"/>
      <c r="R307" s="36"/>
      <c r="S307" s="36"/>
      <c r="T307" s="36"/>
      <c r="U307" s="36"/>
      <c r="V307" s="36" t="s">
        <v>2188</v>
      </c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</row>
    <row r="308" spans="1:40" ht="15.75" thickBot="1" x14ac:dyDescent="0.3">
      <c r="A308" t="s">
        <v>201</v>
      </c>
      <c r="B308" s="35" t="s">
        <v>331</v>
      </c>
      <c r="C308" s="35" t="s">
        <v>1040</v>
      </c>
      <c r="D308" s="35" t="s">
        <v>330</v>
      </c>
      <c r="E308" s="72" t="s">
        <v>71</v>
      </c>
      <c r="F308" s="72" t="s">
        <v>27</v>
      </c>
      <c r="G308" s="72"/>
      <c r="H308" s="72" t="s">
        <v>737</v>
      </c>
      <c r="I308" s="72"/>
      <c r="J308" s="73" t="s">
        <v>1832</v>
      </c>
      <c r="K308" s="73" t="s">
        <v>1832</v>
      </c>
      <c r="L308" s="24" t="e">
        <f t="shared" si="7"/>
        <v>#VALUE!</v>
      </c>
      <c r="M308" s="36"/>
      <c r="N308" s="36"/>
      <c r="O308" s="36"/>
      <c r="P308" s="36"/>
      <c r="Q308" s="36"/>
      <c r="R308" s="36"/>
      <c r="S308" s="36"/>
      <c r="T308" s="36"/>
      <c r="U308" s="36"/>
      <c r="V308" s="36" t="s">
        <v>2188</v>
      </c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</row>
    <row r="309" spans="1:40" ht="15.75" thickBot="1" x14ac:dyDescent="0.3">
      <c r="A309" t="s">
        <v>274</v>
      </c>
      <c r="B309" t="s">
        <v>1262</v>
      </c>
      <c r="C309" t="s">
        <v>1040</v>
      </c>
      <c r="D309" t="s">
        <v>956</v>
      </c>
      <c r="E309" s="23" t="s">
        <v>71</v>
      </c>
      <c r="F309" s="23" t="s">
        <v>27</v>
      </c>
      <c r="G309" s="23"/>
      <c r="H309" s="23" t="s">
        <v>1241</v>
      </c>
      <c r="I309" s="23"/>
      <c r="J309" s="63" t="s">
        <v>1833</v>
      </c>
      <c r="K309" s="63" t="s">
        <v>1833</v>
      </c>
      <c r="L309" s="24" t="e">
        <f t="shared" si="7"/>
        <v>#VALUE!</v>
      </c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 t="s">
        <v>2188</v>
      </c>
      <c r="X309" s="36" t="s">
        <v>2188</v>
      </c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</row>
    <row r="310" spans="1:40" ht="15.75" thickBot="1" x14ac:dyDescent="0.3">
      <c r="A310" t="s">
        <v>274</v>
      </c>
      <c r="B310" t="s">
        <v>1261</v>
      </c>
      <c r="C310" t="s">
        <v>1040</v>
      </c>
      <c r="D310" t="s">
        <v>957</v>
      </c>
      <c r="E310" s="23" t="s">
        <v>18</v>
      </c>
      <c r="F310" s="23" t="s">
        <v>27</v>
      </c>
      <c r="G310" s="23"/>
      <c r="H310" s="23" t="s">
        <v>1242</v>
      </c>
      <c r="I310" s="23"/>
      <c r="J310" s="63" t="s">
        <v>1836</v>
      </c>
      <c r="K310" s="63" t="s">
        <v>1836</v>
      </c>
      <c r="L310" s="24" t="e">
        <f t="shared" si="7"/>
        <v>#VALUE!</v>
      </c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 t="s">
        <v>2188</v>
      </c>
      <c r="X310" s="36" t="s">
        <v>2188</v>
      </c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</row>
    <row r="311" spans="1:40" ht="15.75" thickBot="1" x14ac:dyDescent="0.3">
      <c r="A311" t="s">
        <v>274</v>
      </c>
      <c r="B311" t="s">
        <v>332</v>
      </c>
      <c r="C311" t="s">
        <v>1040</v>
      </c>
      <c r="D311" t="s">
        <v>333</v>
      </c>
      <c r="E311" s="23" t="s">
        <v>15</v>
      </c>
      <c r="F311" s="23" t="s">
        <v>27</v>
      </c>
      <c r="G311" s="23"/>
      <c r="H311" s="23" t="s">
        <v>738</v>
      </c>
      <c r="I311" s="23"/>
      <c r="J311" s="63" t="s">
        <v>1834</v>
      </c>
      <c r="K311" s="63" t="s">
        <v>1834</v>
      </c>
      <c r="L311" s="24" t="e">
        <f t="shared" si="7"/>
        <v>#VALUE!</v>
      </c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 t="s">
        <v>2188</v>
      </c>
      <c r="X311" s="36" t="s">
        <v>2188</v>
      </c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</row>
    <row r="312" spans="1:40" ht="15.75" thickBot="1" x14ac:dyDescent="0.3">
      <c r="A312" t="s">
        <v>337</v>
      </c>
      <c r="B312" t="s">
        <v>334</v>
      </c>
      <c r="C312" t="s">
        <v>1040</v>
      </c>
      <c r="D312" t="s">
        <v>333</v>
      </c>
      <c r="E312" s="23" t="s">
        <v>71</v>
      </c>
      <c r="F312" s="23" t="s">
        <v>27</v>
      </c>
      <c r="G312" s="23"/>
      <c r="H312" s="23" t="s">
        <v>739</v>
      </c>
      <c r="I312" s="23"/>
      <c r="J312" s="63" t="s">
        <v>1835</v>
      </c>
      <c r="K312" s="63" t="s">
        <v>1835</v>
      </c>
      <c r="L312" s="24" t="e">
        <f t="shared" si="7"/>
        <v>#VALUE!</v>
      </c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</row>
    <row r="313" spans="1:40" ht="15.75" thickBot="1" x14ac:dyDescent="0.3">
      <c r="A313" t="s">
        <v>337</v>
      </c>
      <c r="B313" t="s">
        <v>335</v>
      </c>
      <c r="C313" t="s">
        <v>1040</v>
      </c>
      <c r="D313" t="s">
        <v>336</v>
      </c>
      <c r="E313" s="23" t="s">
        <v>71</v>
      </c>
      <c r="F313" s="23" t="s">
        <v>1267</v>
      </c>
      <c r="G313" s="23"/>
      <c r="H313" s="23" t="s">
        <v>741</v>
      </c>
      <c r="I313" s="23"/>
      <c r="J313" s="63" t="s">
        <v>1837</v>
      </c>
      <c r="K313" s="63" t="s">
        <v>1837</v>
      </c>
      <c r="L313" s="24" t="e">
        <f t="shared" si="7"/>
        <v>#VALUE!</v>
      </c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</row>
    <row r="314" spans="1:40" ht="15.75" thickBot="1" x14ac:dyDescent="0.3">
      <c r="A314" t="s">
        <v>337</v>
      </c>
      <c r="B314" t="s">
        <v>338</v>
      </c>
      <c r="C314" t="s">
        <v>1040</v>
      </c>
      <c r="D314" t="s">
        <v>339</v>
      </c>
      <c r="E314" s="23" t="s">
        <v>15</v>
      </c>
      <c r="F314" s="23" t="s">
        <v>27</v>
      </c>
      <c r="G314" s="23"/>
      <c r="H314" s="23" t="s">
        <v>743</v>
      </c>
      <c r="I314" s="23"/>
      <c r="J314" s="63" t="s">
        <v>1840</v>
      </c>
      <c r="K314" s="63" t="s">
        <v>1840</v>
      </c>
      <c r="L314" s="24" t="e">
        <f t="shared" si="7"/>
        <v>#VALUE!</v>
      </c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</row>
    <row r="315" spans="1:40" ht="15.75" thickBot="1" x14ac:dyDescent="0.3">
      <c r="A315" t="s">
        <v>341</v>
      </c>
      <c r="B315" t="s">
        <v>340</v>
      </c>
      <c r="C315" t="s">
        <v>1040</v>
      </c>
      <c r="D315" t="s">
        <v>339</v>
      </c>
      <c r="E315" s="23" t="s">
        <v>71</v>
      </c>
      <c r="F315" s="23" t="s">
        <v>27</v>
      </c>
      <c r="G315" s="23"/>
      <c r="H315" s="23" t="s">
        <v>744</v>
      </c>
      <c r="I315" s="23"/>
      <c r="J315" s="63" t="s">
        <v>1841</v>
      </c>
      <c r="K315" s="63" t="s">
        <v>1841</v>
      </c>
      <c r="L315" s="24" t="e">
        <f t="shared" si="7"/>
        <v>#VALUE!</v>
      </c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</row>
    <row r="316" spans="1:40" s="39" customFormat="1" ht="15.75" thickBot="1" x14ac:dyDescent="0.3">
      <c r="A316" s="39" t="s">
        <v>183</v>
      </c>
      <c r="B316" s="35" t="s">
        <v>953</v>
      </c>
      <c r="C316" s="35" t="s">
        <v>1040</v>
      </c>
      <c r="D316" s="35" t="s">
        <v>342</v>
      </c>
      <c r="E316" s="72" t="s">
        <v>15</v>
      </c>
      <c r="F316" s="72" t="s">
        <v>1267</v>
      </c>
      <c r="G316" s="23"/>
      <c r="H316" s="72" t="s">
        <v>749</v>
      </c>
      <c r="I316" s="23"/>
      <c r="J316" s="73"/>
      <c r="K316" s="73"/>
      <c r="L316" s="62" t="e">
        <f t="shared" si="7"/>
        <v>#DIV/0!</v>
      </c>
      <c r="M316" s="36" t="s">
        <v>2188</v>
      </c>
      <c r="N316" s="36" t="s">
        <v>2188</v>
      </c>
      <c r="O316" s="36" t="s">
        <v>2188</v>
      </c>
      <c r="P316" s="36" t="s">
        <v>2188</v>
      </c>
      <c r="Q316" s="36" t="s">
        <v>2188</v>
      </c>
      <c r="R316" s="36" t="s">
        <v>2188</v>
      </c>
      <c r="S316" s="36"/>
      <c r="T316" s="36"/>
      <c r="U316" s="36" t="s">
        <v>2188</v>
      </c>
      <c r="V316" s="36" t="s">
        <v>2188</v>
      </c>
      <c r="W316" s="36" t="s">
        <v>2188</v>
      </c>
      <c r="X316" s="36" t="s">
        <v>2188</v>
      </c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</row>
    <row r="317" spans="1:40" s="39" customFormat="1" ht="15.75" thickBot="1" x14ac:dyDescent="0.3">
      <c r="A317" s="39" t="s">
        <v>183</v>
      </c>
      <c r="B317" s="39" t="s">
        <v>343</v>
      </c>
      <c r="C317" s="39" t="s">
        <v>1040</v>
      </c>
      <c r="D317" s="39" t="s">
        <v>344</v>
      </c>
      <c r="E317" s="67" t="s">
        <v>15</v>
      </c>
      <c r="F317" s="67" t="s">
        <v>1267</v>
      </c>
      <c r="G317" s="67"/>
      <c r="H317" s="67" t="s">
        <v>745</v>
      </c>
      <c r="I317" s="67"/>
      <c r="J317" s="63" t="s">
        <v>1843</v>
      </c>
      <c r="K317" s="63" t="s">
        <v>1843</v>
      </c>
      <c r="L317" s="62" t="e">
        <f t="shared" si="7"/>
        <v>#VALUE!</v>
      </c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</row>
    <row r="318" spans="1:40" s="39" customFormat="1" ht="15.75" thickBot="1" x14ac:dyDescent="0.3">
      <c r="A318" s="39" t="s">
        <v>183</v>
      </c>
      <c r="B318" s="39" t="s">
        <v>345</v>
      </c>
      <c r="C318" s="39" t="s">
        <v>1040</v>
      </c>
      <c r="D318" s="39" t="s">
        <v>344</v>
      </c>
      <c r="E318" s="67" t="s">
        <v>71</v>
      </c>
      <c r="F318" s="67" t="s">
        <v>1267</v>
      </c>
      <c r="G318" s="67"/>
      <c r="H318" s="67" t="s">
        <v>1562</v>
      </c>
      <c r="I318" s="67"/>
      <c r="J318" s="63" t="s">
        <v>2071</v>
      </c>
      <c r="K318" s="63" t="s">
        <v>2071</v>
      </c>
      <c r="L318" s="24" t="e">
        <f t="shared" ref="L318:L388" si="8">(I318)/(K318+I318)</f>
        <v>#VALUE!</v>
      </c>
      <c r="M318" s="36" t="s">
        <v>2188</v>
      </c>
      <c r="N318" s="36" t="s">
        <v>2188</v>
      </c>
      <c r="O318" s="36" t="s">
        <v>2188</v>
      </c>
      <c r="P318" s="36" t="s">
        <v>2188</v>
      </c>
      <c r="Q318" s="36" t="s">
        <v>2188</v>
      </c>
      <c r="R318" s="36" t="s">
        <v>2188</v>
      </c>
      <c r="S318" s="36"/>
      <c r="T318" s="36"/>
      <c r="U318" s="36"/>
      <c r="V318" s="36" t="s">
        <v>2188</v>
      </c>
      <c r="W318" s="36" t="s">
        <v>2188</v>
      </c>
      <c r="X318" s="36" t="s">
        <v>2188</v>
      </c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</row>
    <row r="319" spans="1:40" s="39" customFormat="1" ht="15.75" thickBot="1" x14ac:dyDescent="0.3">
      <c r="A319" s="39" t="s">
        <v>346</v>
      </c>
      <c r="B319" s="39" t="s">
        <v>347</v>
      </c>
      <c r="C319" s="39" t="s">
        <v>1040</v>
      </c>
      <c r="D319" s="39" t="s">
        <v>1180</v>
      </c>
      <c r="E319" s="67" t="s">
        <v>71</v>
      </c>
      <c r="F319" s="67" t="s">
        <v>1267</v>
      </c>
      <c r="G319" s="67"/>
      <c r="H319" s="67" t="s">
        <v>751</v>
      </c>
      <c r="I319" s="67"/>
      <c r="J319" s="63" t="s">
        <v>2113</v>
      </c>
      <c r="K319" s="63" t="s">
        <v>2113</v>
      </c>
      <c r="L319" s="62" t="e">
        <f t="shared" si="8"/>
        <v>#VALUE!</v>
      </c>
      <c r="M319" s="36" t="s">
        <v>2188</v>
      </c>
      <c r="N319" s="36" t="s">
        <v>2188</v>
      </c>
      <c r="O319" s="36" t="s">
        <v>2188</v>
      </c>
      <c r="P319" s="36" t="s">
        <v>2188</v>
      </c>
      <c r="Q319" s="36" t="s">
        <v>2188</v>
      </c>
      <c r="R319" s="36" t="s">
        <v>2188</v>
      </c>
      <c r="S319" s="36"/>
      <c r="T319" s="36"/>
      <c r="U319" s="36"/>
      <c r="V319" s="36" t="s">
        <v>2188</v>
      </c>
      <c r="W319" s="36" t="s">
        <v>2188</v>
      </c>
      <c r="X319" s="36" t="s">
        <v>2188</v>
      </c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</row>
    <row r="320" spans="1:40" s="39" customFormat="1" ht="15.75" thickBot="1" x14ac:dyDescent="0.3">
      <c r="A320" s="39" t="s">
        <v>346</v>
      </c>
      <c r="B320" t="s">
        <v>348</v>
      </c>
      <c r="C320" t="s">
        <v>1040</v>
      </c>
      <c r="D320" t="s">
        <v>349</v>
      </c>
      <c r="E320" s="23" t="s">
        <v>15</v>
      </c>
      <c r="F320" s="23" t="s">
        <v>27</v>
      </c>
      <c r="G320" s="23"/>
      <c r="H320" s="23" t="s">
        <v>747</v>
      </c>
      <c r="I320" s="23"/>
      <c r="J320" s="63" t="s">
        <v>1847</v>
      </c>
      <c r="K320" s="63" t="s">
        <v>1847</v>
      </c>
      <c r="L320" s="62" t="e">
        <f t="shared" si="8"/>
        <v>#VALUE!</v>
      </c>
      <c r="M320" s="36" t="s">
        <v>2188</v>
      </c>
      <c r="N320" s="36" t="s">
        <v>2188</v>
      </c>
      <c r="O320" s="36" t="s">
        <v>2188</v>
      </c>
      <c r="P320" s="36" t="s">
        <v>2188</v>
      </c>
      <c r="Q320" s="36" t="s">
        <v>2188</v>
      </c>
      <c r="R320" s="36" t="s">
        <v>2188</v>
      </c>
      <c r="S320" s="36"/>
      <c r="T320" s="36"/>
      <c r="U320" s="36" t="s">
        <v>2188</v>
      </c>
      <c r="V320" s="36" t="s">
        <v>2188</v>
      </c>
      <c r="W320" s="36" t="s">
        <v>2188</v>
      </c>
      <c r="X320" s="36" t="s">
        <v>2188</v>
      </c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</row>
    <row r="321" spans="1:40" s="39" customFormat="1" ht="15.75" thickBot="1" x14ac:dyDescent="0.3">
      <c r="A321" s="39" t="s">
        <v>346</v>
      </c>
      <c r="B321" t="s">
        <v>350</v>
      </c>
      <c r="C321" t="s">
        <v>1040</v>
      </c>
      <c r="D321" t="s">
        <v>349</v>
      </c>
      <c r="E321" s="23" t="s">
        <v>71</v>
      </c>
      <c r="F321" s="23" t="s">
        <v>27</v>
      </c>
      <c r="G321" s="23"/>
      <c r="H321" s="23" t="s">
        <v>746</v>
      </c>
      <c r="I321" s="23"/>
      <c r="J321" s="63" t="s">
        <v>1848</v>
      </c>
      <c r="K321" s="63" t="s">
        <v>1848</v>
      </c>
      <c r="L321" s="62" t="e">
        <f t="shared" si="8"/>
        <v>#VALUE!</v>
      </c>
      <c r="M321" s="36" t="s">
        <v>2188</v>
      </c>
      <c r="N321" s="36" t="s">
        <v>2188</v>
      </c>
      <c r="O321" s="36" t="s">
        <v>2188</v>
      </c>
      <c r="P321" s="36" t="s">
        <v>2188</v>
      </c>
      <c r="Q321" s="36" t="s">
        <v>2188</v>
      </c>
      <c r="R321" s="36" t="s">
        <v>2188</v>
      </c>
      <c r="S321" s="36"/>
      <c r="T321" s="36"/>
      <c r="U321" s="36" t="s">
        <v>2188</v>
      </c>
      <c r="V321" s="36" t="s">
        <v>2188</v>
      </c>
      <c r="W321" s="36" t="s">
        <v>2188</v>
      </c>
      <c r="X321" s="36" t="s">
        <v>2188</v>
      </c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</row>
    <row r="322" spans="1:40" ht="15.75" thickBot="1" x14ac:dyDescent="0.3">
      <c r="A322" t="s">
        <v>337</v>
      </c>
      <c r="B322" t="s">
        <v>954</v>
      </c>
      <c r="C322" t="s">
        <v>1039</v>
      </c>
      <c r="D322" t="s">
        <v>955</v>
      </c>
      <c r="E322" s="23" t="s">
        <v>71</v>
      </c>
      <c r="F322" s="23" t="s">
        <v>27</v>
      </c>
      <c r="G322" s="23"/>
      <c r="H322" s="23" t="s">
        <v>1240</v>
      </c>
      <c r="I322" s="23"/>
      <c r="J322" s="63" t="s">
        <v>1830</v>
      </c>
      <c r="K322" s="63" t="s">
        <v>1830</v>
      </c>
      <c r="L322" s="24" t="e">
        <f t="shared" si="8"/>
        <v>#VALUE!</v>
      </c>
      <c r="M322" s="36" t="s">
        <v>2188</v>
      </c>
      <c r="N322" s="36" t="s">
        <v>2188</v>
      </c>
      <c r="O322" s="36" t="s">
        <v>2188</v>
      </c>
      <c r="P322" s="36" t="s">
        <v>2188</v>
      </c>
      <c r="Q322" s="36" t="s">
        <v>2188</v>
      </c>
      <c r="R322" s="36" t="s">
        <v>2188</v>
      </c>
      <c r="S322" s="36"/>
      <c r="T322" s="36"/>
      <c r="U322" s="36" t="s">
        <v>2188</v>
      </c>
      <c r="V322" s="36" t="s">
        <v>2188</v>
      </c>
      <c r="W322" s="36" t="s">
        <v>2188</v>
      </c>
      <c r="X322" s="36" t="s">
        <v>2188</v>
      </c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</row>
    <row r="323" spans="1:40" ht="15.75" thickBot="1" x14ac:dyDescent="0.3">
      <c r="A323" t="s">
        <v>337</v>
      </c>
      <c r="B323" t="s">
        <v>351</v>
      </c>
      <c r="C323" t="s">
        <v>1040</v>
      </c>
      <c r="D323" t="s">
        <v>336</v>
      </c>
      <c r="E323" s="23" t="s">
        <v>15</v>
      </c>
      <c r="F323" s="23" t="s">
        <v>1267</v>
      </c>
      <c r="G323" s="23"/>
      <c r="H323" s="23" t="s">
        <v>742</v>
      </c>
      <c r="I323" s="23"/>
      <c r="J323" s="63" t="s">
        <v>1838</v>
      </c>
      <c r="K323" s="63" t="s">
        <v>1838</v>
      </c>
      <c r="L323" s="24" t="e">
        <f t="shared" si="8"/>
        <v>#VALUE!</v>
      </c>
      <c r="M323" s="36" t="s">
        <v>2188</v>
      </c>
      <c r="N323" s="36" t="s">
        <v>2188</v>
      </c>
      <c r="O323" s="36" t="s">
        <v>2188</v>
      </c>
      <c r="P323" s="36"/>
      <c r="Q323" s="36"/>
      <c r="R323" s="36"/>
      <c r="S323" s="36"/>
      <c r="T323" s="36"/>
      <c r="U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</row>
    <row r="324" spans="1:40" ht="15.75" thickBot="1" x14ac:dyDescent="0.3">
      <c r="A324" t="s">
        <v>337</v>
      </c>
      <c r="B324" t="s">
        <v>958</v>
      </c>
      <c r="C324" t="s">
        <v>1040</v>
      </c>
      <c r="D324" t="s">
        <v>959</v>
      </c>
      <c r="E324" s="23" t="s">
        <v>71</v>
      </c>
      <c r="F324" s="23" t="s">
        <v>1267</v>
      </c>
      <c r="G324" s="23"/>
      <c r="H324" s="23" t="s">
        <v>1243</v>
      </c>
      <c r="I324" s="23"/>
      <c r="J324" s="63" t="s">
        <v>1839</v>
      </c>
      <c r="K324" s="63" t="s">
        <v>1839</v>
      </c>
      <c r="L324" s="24" t="e">
        <f t="shared" si="8"/>
        <v>#VALUE!</v>
      </c>
      <c r="M324" s="36" t="s">
        <v>2188</v>
      </c>
      <c r="N324" s="36" t="s">
        <v>2188</v>
      </c>
      <c r="O324" s="36" t="s">
        <v>2188</v>
      </c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</row>
    <row r="325" spans="1:40" ht="15.75" thickBot="1" x14ac:dyDescent="0.3">
      <c r="A325" t="s">
        <v>216</v>
      </c>
      <c r="B325" t="s">
        <v>960</v>
      </c>
      <c r="C325" t="s">
        <v>1040</v>
      </c>
      <c r="D325" t="s">
        <v>339</v>
      </c>
      <c r="E325" s="23" t="s">
        <v>18</v>
      </c>
      <c r="F325" s="23" t="s">
        <v>27</v>
      </c>
      <c r="G325" s="23"/>
      <c r="H325" s="23" t="s">
        <v>1244</v>
      </c>
      <c r="I325" s="23"/>
      <c r="J325" s="63" t="s">
        <v>1842</v>
      </c>
      <c r="K325" s="63" t="s">
        <v>1842</v>
      </c>
      <c r="L325" s="24" t="e">
        <f t="shared" si="8"/>
        <v>#VALUE!</v>
      </c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</row>
    <row r="326" spans="1:40" ht="15.75" thickBot="1" x14ac:dyDescent="0.3">
      <c r="A326" t="s">
        <v>216</v>
      </c>
      <c r="B326" s="39" t="s">
        <v>961</v>
      </c>
      <c r="C326" s="39" t="s">
        <v>1040</v>
      </c>
      <c r="D326" s="39" t="s">
        <v>962</v>
      </c>
      <c r="E326" s="67" t="s">
        <v>71</v>
      </c>
      <c r="F326" s="67" t="s">
        <v>1267</v>
      </c>
      <c r="G326" s="67"/>
      <c r="H326" s="67" t="s">
        <v>1245</v>
      </c>
      <c r="I326" s="67"/>
      <c r="J326" s="63" t="s">
        <v>1844</v>
      </c>
      <c r="K326" s="63" t="s">
        <v>1844</v>
      </c>
      <c r="L326" s="24" t="e">
        <f t="shared" si="8"/>
        <v>#VALUE!</v>
      </c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</row>
    <row r="327" spans="1:40" ht="15.75" thickBot="1" x14ac:dyDescent="0.3">
      <c r="A327" t="s">
        <v>216</v>
      </c>
      <c r="B327" s="39" t="s">
        <v>1179</v>
      </c>
      <c r="C327" s="39" t="s">
        <v>1040</v>
      </c>
      <c r="D327" s="39" t="s">
        <v>1180</v>
      </c>
      <c r="E327" s="67" t="s">
        <v>15</v>
      </c>
      <c r="F327" s="67" t="s">
        <v>1267</v>
      </c>
      <c r="G327" s="67"/>
      <c r="H327" s="67" t="s">
        <v>750</v>
      </c>
      <c r="I327" s="67"/>
      <c r="J327" s="63" t="s">
        <v>1845</v>
      </c>
      <c r="K327" s="63" t="s">
        <v>1845</v>
      </c>
      <c r="L327" s="24" t="e">
        <f t="shared" si="8"/>
        <v>#VALUE!</v>
      </c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</row>
    <row r="328" spans="1:40" ht="15.75" thickBot="1" x14ac:dyDescent="0.3">
      <c r="A328" t="s">
        <v>352</v>
      </c>
      <c r="B328" s="39" t="s">
        <v>963</v>
      </c>
      <c r="C328" s="39" t="s">
        <v>1040</v>
      </c>
      <c r="D328" s="39" t="s">
        <v>964</v>
      </c>
      <c r="E328" s="67" t="s">
        <v>18</v>
      </c>
      <c r="F328" s="67" t="s">
        <v>1267</v>
      </c>
      <c r="G328" s="67"/>
      <c r="H328" s="67" t="s">
        <v>1246</v>
      </c>
      <c r="I328" s="67"/>
      <c r="J328" s="63" t="s">
        <v>1846</v>
      </c>
      <c r="K328" s="63" t="s">
        <v>1846</v>
      </c>
      <c r="L328" s="24" t="e">
        <f t="shared" si="8"/>
        <v>#VALUE!</v>
      </c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</row>
    <row r="329" spans="1:40" ht="15.75" thickBot="1" x14ac:dyDescent="0.3">
      <c r="A329" t="s">
        <v>352</v>
      </c>
      <c r="B329" t="s">
        <v>965</v>
      </c>
      <c r="C329" t="s">
        <v>1040</v>
      </c>
      <c r="D329" t="s">
        <v>966</v>
      </c>
      <c r="E329" s="23" t="s">
        <v>71</v>
      </c>
      <c r="F329" s="23" t="s">
        <v>27</v>
      </c>
      <c r="G329" s="23"/>
      <c r="H329" s="23" t="s">
        <v>1247</v>
      </c>
      <c r="I329" s="23"/>
      <c r="J329" s="63" t="s">
        <v>1849</v>
      </c>
      <c r="K329" s="63" t="s">
        <v>1849</v>
      </c>
      <c r="L329" s="24" t="e">
        <f t="shared" si="8"/>
        <v>#VALUE!</v>
      </c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</row>
    <row r="330" spans="1:40" ht="15.75" thickBot="1" x14ac:dyDescent="0.3">
      <c r="A330" t="s">
        <v>352</v>
      </c>
      <c r="B330" t="s">
        <v>1258</v>
      </c>
      <c r="C330" t="s">
        <v>1040</v>
      </c>
      <c r="D330" t="s">
        <v>968</v>
      </c>
      <c r="E330" s="23" t="s">
        <v>71</v>
      </c>
      <c r="F330" s="23" t="s">
        <v>27</v>
      </c>
      <c r="G330" s="23"/>
      <c r="H330" s="23" t="s">
        <v>748</v>
      </c>
      <c r="I330" s="23"/>
      <c r="J330" s="63" t="s">
        <v>1850</v>
      </c>
      <c r="K330" s="63" t="s">
        <v>1850</v>
      </c>
      <c r="L330" s="24" t="e">
        <f t="shared" si="8"/>
        <v>#VALUE!</v>
      </c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</row>
    <row r="331" spans="1:40" ht="15.75" thickBot="1" x14ac:dyDescent="0.3">
      <c r="A331" t="s">
        <v>352</v>
      </c>
      <c r="B331" t="s">
        <v>1259</v>
      </c>
      <c r="C331" t="s">
        <v>1040</v>
      </c>
      <c r="D331" t="s">
        <v>968</v>
      </c>
      <c r="E331" s="23" t="s">
        <v>71</v>
      </c>
      <c r="F331" s="23" t="s">
        <v>27</v>
      </c>
      <c r="G331" s="23"/>
      <c r="H331" s="23" t="s">
        <v>740</v>
      </c>
      <c r="I331" s="23"/>
      <c r="J331" s="63" t="s">
        <v>1851</v>
      </c>
      <c r="K331" s="63" t="s">
        <v>1851</v>
      </c>
      <c r="L331" s="24" t="e">
        <f t="shared" si="8"/>
        <v>#VALUE!</v>
      </c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</row>
    <row r="332" spans="1:40" ht="15.75" thickBot="1" x14ac:dyDescent="0.3">
      <c r="A332" t="s">
        <v>352</v>
      </c>
      <c r="B332" t="s">
        <v>967</v>
      </c>
      <c r="C332" t="s">
        <v>1040</v>
      </c>
      <c r="D332" t="s">
        <v>968</v>
      </c>
      <c r="E332" s="23" t="s">
        <v>71</v>
      </c>
      <c r="F332" s="23" t="s">
        <v>27</v>
      </c>
      <c r="G332" s="23"/>
      <c r="H332" s="23" t="s">
        <v>1260</v>
      </c>
      <c r="I332" s="23"/>
      <c r="J332" s="63" t="s">
        <v>1852</v>
      </c>
      <c r="K332" s="63" t="s">
        <v>1852</v>
      </c>
      <c r="L332" s="24" t="e">
        <f t="shared" si="8"/>
        <v>#VALUE!</v>
      </c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</row>
    <row r="333" spans="1:40" ht="15.75" thickBot="1" x14ac:dyDescent="0.3">
      <c r="A333" t="s">
        <v>352</v>
      </c>
      <c r="B333" t="s">
        <v>353</v>
      </c>
      <c r="C333" t="s">
        <v>1040</v>
      </c>
      <c r="D333" t="s">
        <v>354</v>
      </c>
      <c r="E333" s="23" t="s">
        <v>15</v>
      </c>
      <c r="F333" s="23" t="s">
        <v>27</v>
      </c>
      <c r="G333" s="23"/>
      <c r="H333" s="23" t="s">
        <v>752</v>
      </c>
      <c r="I333" s="23"/>
      <c r="J333" s="63" t="s">
        <v>1853</v>
      </c>
      <c r="K333" s="63" t="s">
        <v>1853</v>
      </c>
      <c r="L333" s="24" t="e">
        <f t="shared" si="8"/>
        <v>#VALUE!</v>
      </c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</row>
    <row r="334" spans="1:40" ht="15.75" thickBot="1" x14ac:dyDescent="0.3">
      <c r="A334" t="s">
        <v>352</v>
      </c>
      <c r="B334" t="s">
        <v>969</v>
      </c>
      <c r="C334" t="s">
        <v>1040</v>
      </c>
      <c r="D334" t="s">
        <v>355</v>
      </c>
      <c r="E334" s="23" t="s">
        <v>15</v>
      </c>
      <c r="F334" s="23" t="s">
        <v>27</v>
      </c>
      <c r="G334" s="23"/>
      <c r="H334" s="23" t="s">
        <v>753</v>
      </c>
      <c r="I334" s="23"/>
      <c r="J334" s="63" t="s">
        <v>1854</v>
      </c>
      <c r="K334" s="63" t="s">
        <v>1854</v>
      </c>
      <c r="L334" s="24" t="e">
        <f t="shared" si="8"/>
        <v>#VALUE!</v>
      </c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</row>
    <row r="335" spans="1:40" ht="15.75" thickBot="1" x14ac:dyDescent="0.3">
      <c r="A335" t="s">
        <v>352</v>
      </c>
      <c r="B335" t="s">
        <v>356</v>
      </c>
      <c r="C335" t="s">
        <v>1040</v>
      </c>
      <c r="D335" t="s">
        <v>357</v>
      </c>
      <c r="E335" s="23" t="s">
        <v>71</v>
      </c>
      <c r="F335" s="23" t="s">
        <v>27</v>
      </c>
      <c r="G335" s="23"/>
      <c r="H335" s="23" t="s">
        <v>754</v>
      </c>
      <c r="I335" s="23"/>
      <c r="J335" s="63" t="s">
        <v>1855</v>
      </c>
      <c r="K335" s="63" t="s">
        <v>1855</v>
      </c>
      <c r="L335" s="24" t="e">
        <f t="shared" si="8"/>
        <v>#VALUE!</v>
      </c>
      <c r="M335" s="36"/>
      <c r="N335" s="36"/>
      <c r="O335" s="36"/>
      <c r="P335" s="36"/>
      <c r="Q335" s="36"/>
      <c r="R335" s="36"/>
      <c r="S335" s="36"/>
      <c r="T335" s="36"/>
      <c r="U335" s="36"/>
      <c r="V335" s="36" t="s">
        <v>2188</v>
      </c>
      <c r="W335" s="36" t="s">
        <v>2188</v>
      </c>
      <c r="X335" s="36" t="s">
        <v>2188</v>
      </c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</row>
    <row r="336" spans="1:40" ht="15.75" thickBot="1" x14ac:dyDescent="0.3">
      <c r="A336" t="s">
        <v>352</v>
      </c>
      <c r="B336" t="s">
        <v>358</v>
      </c>
      <c r="C336" t="s">
        <v>1040</v>
      </c>
      <c r="D336" t="s">
        <v>357</v>
      </c>
      <c r="E336" s="23" t="s">
        <v>71</v>
      </c>
      <c r="F336" s="23" t="s">
        <v>27</v>
      </c>
      <c r="G336" s="23"/>
      <c r="H336" s="23" t="s">
        <v>755</v>
      </c>
      <c r="I336" s="23"/>
      <c r="J336" s="63" t="s">
        <v>1856</v>
      </c>
      <c r="K336" s="63" t="s">
        <v>1856</v>
      </c>
      <c r="L336" s="24" t="e">
        <f t="shared" si="8"/>
        <v>#VALUE!</v>
      </c>
      <c r="M336" s="36"/>
      <c r="N336" s="36"/>
      <c r="O336" s="36"/>
      <c r="P336" s="36"/>
      <c r="Q336" s="36"/>
      <c r="R336" s="36"/>
      <c r="S336" s="36"/>
      <c r="T336" s="36"/>
      <c r="U336" s="36"/>
      <c r="V336" s="36" t="s">
        <v>2188</v>
      </c>
      <c r="W336" s="36" t="s">
        <v>2188</v>
      </c>
      <c r="X336" s="36" t="s">
        <v>2188</v>
      </c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</row>
    <row r="337" spans="1:40" ht="15.75" thickBot="1" x14ac:dyDescent="0.3">
      <c r="A337" t="s">
        <v>352</v>
      </c>
      <c r="B337" t="s">
        <v>359</v>
      </c>
      <c r="C337" t="s">
        <v>1040</v>
      </c>
      <c r="D337" t="s">
        <v>360</v>
      </c>
      <c r="E337" s="23" t="s">
        <v>71</v>
      </c>
      <c r="F337" s="23" t="s">
        <v>27</v>
      </c>
      <c r="G337" s="23"/>
      <c r="H337" s="23" t="s">
        <v>756</v>
      </c>
      <c r="I337" s="23"/>
      <c r="J337" s="63" t="s">
        <v>1857</v>
      </c>
      <c r="K337" s="63" t="s">
        <v>1857</v>
      </c>
      <c r="L337" s="24" t="e">
        <f t="shared" si="8"/>
        <v>#VALUE!</v>
      </c>
      <c r="M337" s="36"/>
      <c r="N337" s="36"/>
      <c r="O337" s="36"/>
      <c r="P337" s="36"/>
      <c r="Q337" s="36"/>
      <c r="R337" s="36"/>
      <c r="S337" s="36"/>
      <c r="T337" s="36"/>
      <c r="U337" s="36"/>
      <c r="V337" s="36" t="s">
        <v>2188</v>
      </c>
      <c r="W337" s="36" t="s">
        <v>2188</v>
      </c>
      <c r="X337" s="36" t="s">
        <v>2188</v>
      </c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</row>
    <row r="338" spans="1:40" ht="15.75" thickBot="1" x14ac:dyDescent="0.3">
      <c r="A338" t="s">
        <v>352</v>
      </c>
      <c r="B338" t="s">
        <v>361</v>
      </c>
      <c r="C338" t="s">
        <v>1040</v>
      </c>
      <c r="D338" t="s">
        <v>360</v>
      </c>
      <c r="E338" s="23" t="s">
        <v>45</v>
      </c>
      <c r="F338" s="23" t="s">
        <v>27</v>
      </c>
      <c r="G338" s="23"/>
      <c r="H338" s="23" t="s">
        <v>757</v>
      </c>
      <c r="I338" s="23"/>
      <c r="J338" s="63" t="s">
        <v>1858</v>
      </c>
      <c r="K338" s="63" t="s">
        <v>1858</v>
      </c>
      <c r="L338" s="24" t="e">
        <f t="shared" si="8"/>
        <v>#VALUE!</v>
      </c>
      <c r="M338" s="36"/>
      <c r="N338" s="36"/>
      <c r="O338" s="36"/>
      <c r="P338" s="36"/>
      <c r="Q338" s="36"/>
      <c r="R338" s="36"/>
      <c r="S338" s="36"/>
      <c r="T338" s="36"/>
      <c r="U338" s="36"/>
      <c r="V338" s="36" t="s">
        <v>2188</v>
      </c>
      <c r="W338" s="36" t="s">
        <v>2188</v>
      </c>
      <c r="X338" s="36" t="s">
        <v>2188</v>
      </c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</row>
    <row r="339" spans="1:40" ht="15.75" thickBot="1" x14ac:dyDescent="0.3">
      <c r="A339" t="s">
        <v>352</v>
      </c>
      <c r="B339" t="s">
        <v>1294</v>
      </c>
      <c r="C339" t="s">
        <v>1039</v>
      </c>
      <c r="D339" t="s">
        <v>1295</v>
      </c>
      <c r="E339" s="23"/>
      <c r="F339" s="23" t="s">
        <v>27</v>
      </c>
      <c r="G339" s="23"/>
      <c r="H339" s="23" t="s">
        <v>1302</v>
      </c>
      <c r="I339" s="23"/>
      <c r="J339" s="63" t="s">
        <v>1859</v>
      </c>
      <c r="K339" s="63" t="s">
        <v>1859</v>
      </c>
      <c r="L339" s="24" t="e">
        <f t="shared" si="8"/>
        <v>#VALUE!</v>
      </c>
      <c r="M339" s="36"/>
      <c r="N339" s="36"/>
      <c r="O339" s="36"/>
      <c r="P339" s="36"/>
      <c r="Q339" s="36"/>
      <c r="R339" s="36"/>
      <c r="S339" s="36"/>
      <c r="T339" s="36"/>
      <c r="U339" s="36"/>
      <c r="V339" s="36" t="s">
        <v>2188</v>
      </c>
      <c r="W339" s="36" t="s">
        <v>2188</v>
      </c>
      <c r="X339" s="36" t="s">
        <v>2188</v>
      </c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</row>
    <row r="340" spans="1:40" s="39" customFormat="1" ht="15.75" thickBot="1" x14ac:dyDescent="0.3">
      <c r="A340" s="39" t="s">
        <v>362</v>
      </c>
      <c r="B340" t="s">
        <v>1334</v>
      </c>
      <c r="C340" t="s">
        <v>1040</v>
      </c>
      <c r="D340" s="66" t="s">
        <v>1337</v>
      </c>
      <c r="E340" s="23" t="s">
        <v>18</v>
      </c>
      <c r="F340" s="23" t="s">
        <v>27</v>
      </c>
      <c r="G340" s="23"/>
      <c r="H340" s="23" t="s">
        <v>1349</v>
      </c>
      <c r="I340" s="23"/>
      <c r="J340" s="63" t="s">
        <v>1860</v>
      </c>
      <c r="K340" s="63" t="s">
        <v>1860</v>
      </c>
      <c r="L340" s="42" t="e">
        <f t="shared" si="8"/>
        <v>#VALUE!</v>
      </c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</row>
    <row r="341" spans="1:40" ht="15.75" thickBot="1" x14ac:dyDescent="0.3">
      <c r="A341" t="s">
        <v>362</v>
      </c>
      <c r="B341" t="s">
        <v>1335</v>
      </c>
      <c r="C341" t="s">
        <v>1040</v>
      </c>
      <c r="D341" s="66" t="s">
        <v>1338</v>
      </c>
      <c r="E341" s="23" t="s">
        <v>71</v>
      </c>
      <c r="F341" s="23" t="s">
        <v>27</v>
      </c>
      <c r="G341" s="23"/>
      <c r="H341" s="23" t="s">
        <v>1350</v>
      </c>
      <c r="I341" s="23"/>
      <c r="J341" s="63" t="s">
        <v>1861</v>
      </c>
      <c r="K341" s="63" t="s">
        <v>1861</v>
      </c>
      <c r="L341" s="24" t="e">
        <f t="shared" si="8"/>
        <v>#VALUE!</v>
      </c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</row>
    <row r="342" spans="1:40" ht="15.75" thickBot="1" x14ac:dyDescent="0.3">
      <c r="A342" t="s">
        <v>362</v>
      </c>
      <c r="B342" t="s">
        <v>1336</v>
      </c>
      <c r="C342" t="s">
        <v>1040</v>
      </c>
      <c r="D342" s="66" t="s">
        <v>1339</v>
      </c>
      <c r="E342" s="23" t="s">
        <v>71</v>
      </c>
      <c r="F342" s="23" t="s">
        <v>27</v>
      </c>
      <c r="G342" s="23"/>
      <c r="H342" s="23" t="s">
        <v>1351</v>
      </c>
      <c r="I342" s="23"/>
      <c r="J342" s="63" t="s">
        <v>1862</v>
      </c>
      <c r="K342" s="63" t="s">
        <v>1862</v>
      </c>
      <c r="L342" s="24" t="e">
        <f t="shared" si="8"/>
        <v>#VALUE!</v>
      </c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</row>
    <row r="343" spans="1:40" ht="15.75" thickBot="1" x14ac:dyDescent="0.3">
      <c r="A343" t="s">
        <v>362</v>
      </c>
      <c r="B343" t="s">
        <v>2160</v>
      </c>
      <c r="C343" t="s">
        <v>1040</v>
      </c>
      <c r="D343" s="66" t="s">
        <v>2146</v>
      </c>
      <c r="E343" s="67" t="s">
        <v>15</v>
      </c>
      <c r="F343" s="23" t="s">
        <v>27</v>
      </c>
      <c r="G343" s="23"/>
      <c r="H343" s="23" t="s">
        <v>2161</v>
      </c>
      <c r="I343" s="23"/>
      <c r="J343" s="63" t="s">
        <v>2147</v>
      </c>
      <c r="K343" s="63" t="s">
        <v>2147</v>
      </c>
      <c r="L343" s="24" t="e">
        <f t="shared" si="8"/>
        <v>#VALUE!</v>
      </c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</row>
    <row r="344" spans="1:40" ht="15.75" thickBot="1" x14ac:dyDescent="0.3">
      <c r="A344" t="s">
        <v>362</v>
      </c>
      <c r="B344" t="s">
        <v>2148</v>
      </c>
      <c r="C344" t="s">
        <v>1040</v>
      </c>
      <c r="D344" s="66" t="s">
        <v>2149</v>
      </c>
      <c r="E344" s="67" t="s">
        <v>15</v>
      </c>
      <c r="F344" s="23" t="s">
        <v>27</v>
      </c>
      <c r="G344" s="23"/>
      <c r="H344" s="23" t="s">
        <v>2256</v>
      </c>
      <c r="I344" s="23"/>
      <c r="J344" s="63" t="s">
        <v>2150</v>
      </c>
      <c r="K344" s="63" t="s">
        <v>2150</v>
      </c>
      <c r="L344" s="24" t="e">
        <f t="shared" si="8"/>
        <v>#VALUE!</v>
      </c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</row>
    <row r="345" spans="1:40" ht="15.75" thickBot="1" x14ac:dyDescent="0.3">
      <c r="A345" t="s">
        <v>362</v>
      </c>
      <c r="B345" t="s">
        <v>970</v>
      </c>
      <c r="C345" t="s">
        <v>1040</v>
      </c>
      <c r="D345" t="s">
        <v>368</v>
      </c>
      <c r="E345" s="23" t="s">
        <v>15</v>
      </c>
      <c r="F345" s="23" t="s">
        <v>27</v>
      </c>
      <c r="G345" s="23"/>
      <c r="H345" s="23" t="s">
        <v>762</v>
      </c>
      <c r="I345" s="23"/>
      <c r="J345" s="63" t="s">
        <v>1867</v>
      </c>
      <c r="K345" s="63" t="s">
        <v>1867</v>
      </c>
      <c r="L345" s="24" t="e">
        <f t="shared" si="8"/>
        <v>#VALUE!</v>
      </c>
      <c r="M345" s="36"/>
      <c r="N345" s="36"/>
      <c r="O345" s="36"/>
      <c r="P345" s="36"/>
      <c r="Q345" s="36"/>
      <c r="R345" s="36"/>
      <c r="S345" s="36"/>
      <c r="T345" s="36"/>
      <c r="U345" s="36" t="s">
        <v>2188</v>
      </c>
      <c r="V345" s="36" t="s">
        <v>2188</v>
      </c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</row>
    <row r="346" spans="1:40" ht="15.75" thickBot="1" x14ac:dyDescent="0.3">
      <c r="A346" t="s">
        <v>362</v>
      </c>
      <c r="B346" t="s">
        <v>971</v>
      </c>
      <c r="C346" t="s">
        <v>1040</v>
      </c>
      <c r="D346" t="s">
        <v>972</v>
      </c>
      <c r="E346" s="23" t="s">
        <v>18</v>
      </c>
      <c r="F346" s="23" t="s">
        <v>27</v>
      </c>
      <c r="G346" s="23"/>
      <c r="H346" s="23" t="s">
        <v>887</v>
      </c>
      <c r="I346" s="23"/>
      <c r="J346" s="63" t="s">
        <v>1868</v>
      </c>
      <c r="K346" s="63" t="s">
        <v>1868</v>
      </c>
      <c r="L346" s="24" t="e">
        <f t="shared" si="8"/>
        <v>#VALUE!</v>
      </c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</row>
    <row r="347" spans="1:40" ht="15.75" thickBot="1" x14ac:dyDescent="0.3">
      <c r="A347" t="s">
        <v>362</v>
      </c>
      <c r="B347" t="s">
        <v>973</v>
      </c>
      <c r="C347" t="s">
        <v>1040</v>
      </c>
      <c r="D347" t="s">
        <v>974</v>
      </c>
      <c r="E347" s="23" t="s">
        <v>18</v>
      </c>
      <c r="F347" s="23" t="s">
        <v>27</v>
      </c>
      <c r="G347" s="23"/>
      <c r="H347" s="23" t="s">
        <v>888</v>
      </c>
      <c r="I347" s="23"/>
      <c r="J347" s="63" t="s">
        <v>1869</v>
      </c>
      <c r="K347" s="63" t="s">
        <v>1869</v>
      </c>
      <c r="L347" s="24" t="e">
        <f t="shared" si="8"/>
        <v>#VALUE!</v>
      </c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</row>
    <row r="348" spans="1:40" ht="15.75" thickBot="1" x14ac:dyDescent="0.3">
      <c r="A348" t="s">
        <v>362</v>
      </c>
      <c r="B348" t="s">
        <v>975</v>
      </c>
      <c r="C348" t="s">
        <v>1040</v>
      </c>
      <c r="D348" t="s">
        <v>976</v>
      </c>
      <c r="E348" s="23" t="s">
        <v>18</v>
      </c>
      <c r="F348" s="23" t="s">
        <v>27</v>
      </c>
      <c r="G348" s="23"/>
      <c r="H348" s="23" t="s">
        <v>889</v>
      </c>
      <c r="I348" s="23"/>
      <c r="J348" s="63" t="s">
        <v>1870</v>
      </c>
      <c r="K348" s="63" t="s">
        <v>1870</v>
      </c>
      <c r="L348" s="24" t="e">
        <f t="shared" si="8"/>
        <v>#VALUE!</v>
      </c>
      <c r="M348" s="36"/>
      <c r="N348" s="36"/>
      <c r="O348" s="36"/>
      <c r="P348" s="36"/>
      <c r="Q348" s="36"/>
      <c r="R348" s="36"/>
      <c r="S348" s="36"/>
      <c r="T348" s="36"/>
      <c r="U348" s="36" t="s">
        <v>2188</v>
      </c>
      <c r="V348" s="36" t="s">
        <v>2188</v>
      </c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</row>
    <row r="349" spans="1:40" ht="15.75" thickBot="1" x14ac:dyDescent="0.3">
      <c r="A349" t="s">
        <v>362</v>
      </c>
      <c r="B349" t="s">
        <v>977</v>
      </c>
      <c r="C349" t="s">
        <v>1040</v>
      </c>
      <c r="D349" t="s">
        <v>978</v>
      </c>
      <c r="E349" s="23" t="s">
        <v>18</v>
      </c>
      <c r="F349" s="23" t="s">
        <v>27</v>
      </c>
      <c r="G349" s="23"/>
      <c r="H349" s="23" t="s">
        <v>890</v>
      </c>
      <c r="I349" s="23"/>
      <c r="J349" s="63" t="s">
        <v>1871</v>
      </c>
      <c r="K349" s="63" t="s">
        <v>1871</v>
      </c>
      <c r="L349" s="24" t="e">
        <f t="shared" si="8"/>
        <v>#VALUE!</v>
      </c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</row>
    <row r="350" spans="1:40" ht="15.75" thickBot="1" x14ac:dyDescent="0.3">
      <c r="A350" t="s">
        <v>362</v>
      </c>
      <c r="B350" t="s">
        <v>1144</v>
      </c>
      <c r="C350" t="s">
        <v>1040</v>
      </c>
      <c r="D350" t="s">
        <v>1127</v>
      </c>
      <c r="E350" s="23" t="s">
        <v>18</v>
      </c>
      <c r="F350" s="23" t="s">
        <v>27</v>
      </c>
      <c r="G350" s="23"/>
      <c r="H350" s="23" t="s">
        <v>1129</v>
      </c>
      <c r="I350" s="23"/>
      <c r="J350" s="63" t="s">
        <v>1872</v>
      </c>
      <c r="K350" s="63" t="s">
        <v>1872</v>
      </c>
      <c r="L350" s="24" t="e">
        <f t="shared" si="8"/>
        <v>#VALUE!</v>
      </c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40"/>
      <c r="AL350" s="36"/>
      <c r="AM350" s="36"/>
      <c r="AN350" s="36"/>
    </row>
    <row r="351" spans="1:40" ht="15.75" thickBot="1" x14ac:dyDescent="0.3">
      <c r="A351" t="s">
        <v>362</v>
      </c>
      <c r="B351" t="s">
        <v>1145</v>
      </c>
      <c r="C351" t="s">
        <v>1040</v>
      </c>
      <c r="D351" t="s">
        <v>1127</v>
      </c>
      <c r="E351" s="23" t="s">
        <v>18</v>
      </c>
      <c r="F351" s="23" t="s">
        <v>27</v>
      </c>
      <c r="G351" s="23"/>
      <c r="H351" s="23" t="s">
        <v>1130</v>
      </c>
      <c r="I351" s="23"/>
      <c r="J351" s="63" t="s">
        <v>1873</v>
      </c>
      <c r="K351" s="63" t="s">
        <v>1873</v>
      </c>
      <c r="L351" s="24" t="e">
        <f t="shared" si="8"/>
        <v>#VALUE!</v>
      </c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</row>
    <row r="352" spans="1:40" ht="15.75" thickBot="1" x14ac:dyDescent="0.3">
      <c r="A352" t="s">
        <v>362</v>
      </c>
      <c r="B352" t="s">
        <v>1163</v>
      </c>
      <c r="C352" t="s">
        <v>1040</v>
      </c>
      <c r="D352" t="s">
        <v>1126</v>
      </c>
      <c r="E352" s="23" t="s">
        <v>15</v>
      </c>
      <c r="F352" s="23" t="s">
        <v>27</v>
      </c>
      <c r="G352" s="23"/>
      <c r="H352" s="23" t="s">
        <v>1128</v>
      </c>
      <c r="I352" s="23"/>
      <c r="J352" s="63" t="s">
        <v>1874</v>
      </c>
      <c r="K352" s="63" t="s">
        <v>1874</v>
      </c>
      <c r="L352" s="24" t="e">
        <f t="shared" si="8"/>
        <v>#VALUE!</v>
      </c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</row>
    <row r="353" spans="1:40" ht="15.75" thickBot="1" x14ac:dyDescent="0.3">
      <c r="A353" t="s">
        <v>362</v>
      </c>
      <c r="B353" t="s">
        <v>1263</v>
      </c>
      <c r="C353" t="s">
        <v>1040</v>
      </c>
      <c r="D353" t="s">
        <v>1264</v>
      </c>
      <c r="E353" s="23" t="s">
        <v>71</v>
      </c>
      <c r="F353" s="23" t="s">
        <v>27</v>
      </c>
      <c r="G353" s="23"/>
      <c r="H353" s="23" t="s">
        <v>1421</v>
      </c>
      <c r="I353" s="23"/>
      <c r="J353" s="63" t="s">
        <v>1875</v>
      </c>
      <c r="K353" s="63" t="s">
        <v>1875</v>
      </c>
      <c r="L353" s="24" t="e">
        <f t="shared" si="8"/>
        <v>#VALUE!</v>
      </c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</row>
    <row r="354" spans="1:40" ht="15.75" thickBot="1" x14ac:dyDescent="0.3">
      <c r="A354" t="s">
        <v>362</v>
      </c>
      <c r="B354" t="s">
        <v>1340</v>
      </c>
      <c r="C354" t="s">
        <v>1040</v>
      </c>
      <c r="D354" s="66" t="s">
        <v>1343</v>
      </c>
      <c r="E354" s="23" t="s">
        <v>15</v>
      </c>
      <c r="F354" s="23" t="s">
        <v>1033</v>
      </c>
      <c r="G354" s="23"/>
      <c r="H354" s="23" t="s">
        <v>1347</v>
      </c>
      <c r="I354" s="23"/>
      <c r="J354" s="63"/>
      <c r="K354" s="63"/>
      <c r="L354" s="24" t="e">
        <f t="shared" si="8"/>
        <v>#DIV/0!</v>
      </c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</row>
    <row r="355" spans="1:40" ht="15.75" thickBot="1" x14ac:dyDescent="0.3">
      <c r="A355" t="s">
        <v>362</v>
      </c>
      <c r="B355" t="s">
        <v>1341</v>
      </c>
      <c r="C355" t="s">
        <v>1040</v>
      </c>
      <c r="D355" s="66" t="s">
        <v>1344</v>
      </c>
      <c r="E355" s="23" t="s">
        <v>71</v>
      </c>
      <c r="F355" s="23" t="s">
        <v>1033</v>
      </c>
      <c r="G355" s="23"/>
      <c r="H355" s="23" t="s">
        <v>1348</v>
      </c>
      <c r="I355" s="23"/>
      <c r="J355" s="63"/>
      <c r="K355" s="63"/>
      <c r="L355" s="24" t="e">
        <f t="shared" si="8"/>
        <v>#DIV/0!</v>
      </c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</row>
    <row r="356" spans="1:40" s="39" customFormat="1" ht="15.75" thickBot="1" x14ac:dyDescent="0.3">
      <c r="A356" s="39" t="s">
        <v>880</v>
      </c>
      <c r="B356" t="s">
        <v>1342</v>
      </c>
      <c r="C356" t="s">
        <v>1040</v>
      </c>
      <c r="D356" s="66" t="s">
        <v>1345</v>
      </c>
      <c r="E356" s="23" t="s">
        <v>15</v>
      </c>
      <c r="F356" s="23" t="s">
        <v>27</v>
      </c>
      <c r="G356" s="23"/>
      <c r="H356" s="23" t="s">
        <v>1438</v>
      </c>
      <c r="I356" s="23"/>
      <c r="J356" s="63" t="s">
        <v>1876</v>
      </c>
      <c r="K356" s="63" t="s">
        <v>1876</v>
      </c>
      <c r="L356" s="62" t="e">
        <f t="shared" si="8"/>
        <v>#VALUE!</v>
      </c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</row>
    <row r="357" spans="1:40" s="39" customFormat="1" ht="15.75" thickBot="1" x14ac:dyDescent="0.3">
      <c r="A357" s="39" t="s">
        <v>880</v>
      </c>
      <c r="B357" s="39" t="s">
        <v>979</v>
      </c>
      <c r="C357" s="39" t="s">
        <v>1040</v>
      </c>
      <c r="D357" s="39" t="s">
        <v>363</v>
      </c>
      <c r="E357" s="67" t="s">
        <v>15</v>
      </c>
      <c r="F357" s="67" t="s">
        <v>27</v>
      </c>
      <c r="G357" s="67"/>
      <c r="H357" s="67" t="s">
        <v>758</v>
      </c>
      <c r="I357" s="67"/>
      <c r="J357" s="63" t="s">
        <v>1863</v>
      </c>
      <c r="K357" s="63" t="s">
        <v>1863</v>
      </c>
      <c r="L357" s="62" t="e">
        <f t="shared" si="8"/>
        <v>#VALUE!</v>
      </c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</row>
    <row r="358" spans="1:40" ht="15.75" thickBot="1" x14ac:dyDescent="0.3">
      <c r="A358" t="s">
        <v>251</v>
      </c>
      <c r="B358" t="s">
        <v>980</v>
      </c>
      <c r="C358" t="s">
        <v>1040</v>
      </c>
      <c r="D358" t="s">
        <v>364</v>
      </c>
      <c r="E358" s="23" t="s">
        <v>15</v>
      </c>
      <c r="F358" s="23" t="s">
        <v>27</v>
      </c>
      <c r="G358" s="23"/>
      <c r="H358" s="23" t="s">
        <v>761</v>
      </c>
      <c r="I358" s="23"/>
      <c r="J358" s="63" t="s">
        <v>1864</v>
      </c>
      <c r="K358" s="63" t="s">
        <v>1864</v>
      </c>
      <c r="L358" s="24" t="e">
        <f t="shared" si="8"/>
        <v>#VALUE!</v>
      </c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</row>
    <row r="359" spans="1:40" s="39" customFormat="1" ht="15.75" thickBot="1" x14ac:dyDescent="0.3">
      <c r="A359" s="39" t="s">
        <v>251</v>
      </c>
      <c r="B359" t="s">
        <v>365</v>
      </c>
      <c r="C359" t="s">
        <v>1040</v>
      </c>
      <c r="D359" t="s">
        <v>366</v>
      </c>
      <c r="E359" s="23" t="s">
        <v>71</v>
      </c>
      <c r="F359" s="23" t="s">
        <v>27</v>
      </c>
      <c r="G359" s="23"/>
      <c r="H359" s="23" t="s">
        <v>759</v>
      </c>
      <c r="I359" s="23"/>
      <c r="J359" s="63" t="s">
        <v>1865</v>
      </c>
      <c r="K359" s="63" t="s">
        <v>1865</v>
      </c>
      <c r="L359" s="62" t="e">
        <f t="shared" si="8"/>
        <v>#VALUE!</v>
      </c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</row>
    <row r="360" spans="1:40" s="39" customFormat="1" ht="15.75" thickBot="1" x14ac:dyDescent="0.3">
      <c r="A360" s="39" t="s">
        <v>251</v>
      </c>
      <c r="B360" t="s">
        <v>367</v>
      </c>
      <c r="C360" t="s">
        <v>1040</v>
      </c>
      <c r="D360" t="s">
        <v>366</v>
      </c>
      <c r="E360" s="23" t="s">
        <v>71</v>
      </c>
      <c r="F360" s="23" t="s">
        <v>27</v>
      </c>
      <c r="G360" s="23"/>
      <c r="H360" s="23" t="s">
        <v>760</v>
      </c>
      <c r="I360" s="23"/>
      <c r="J360" s="63" t="s">
        <v>1866</v>
      </c>
      <c r="K360" s="63" t="s">
        <v>1866</v>
      </c>
      <c r="L360" s="62" t="e">
        <f t="shared" si="8"/>
        <v>#VALUE!</v>
      </c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</row>
    <row r="361" spans="1:40" ht="15.75" thickBot="1" x14ac:dyDescent="0.3">
      <c r="A361" t="s">
        <v>251</v>
      </c>
      <c r="B361" s="39" t="s">
        <v>981</v>
      </c>
      <c r="C361" s="39" t="s">
        <v>1040</v>
      </c>
      <c r="D361" s="39" t="s">
        <v>982</v>
      </c>
      <c r="E361" s="67" t="s">
        <v>1034</v>
      </c>
      <c r="F361" s="67" t="s">
        <v>1267</v>
      </c>
      <c r="G361" s="23"/>
      <c r="H361" s="67" t="s">
        <v>882</v>
      </c>
      <c r="I361" s="67"/>
      <c r="J361" s="63" t="s">
        <v>2336</v>
      </c>
      <c r="K361" s="63" t="s">
        <v>2336</v>
      </c>
      <c r="L361" s="24" t="e">
        <f t="shared" si="8"/>
        <v>#VALUE!</v>
      </c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</row>
    <row r="362" spans="1:40" ht="15.75" thickBot="1" x14ac:dyDescent="0.3">
      <c r="A362" t="s">
        <v>251</v>
      </c>
      <c r="B362" s="39" t="s">
        <v>879</v>
      </c>
      <c r="C362" s="39" t="s">
        <v>1040</v>
      </c>
      <c r="D362" s="39" t="s">
        <v>982</v>
      </c>
      <c r="E362" s="67" t="s">
        <v>1035</v>
      </c>
      <c r="F362" s="67" t="s">
        <v>1267</v>
      </c>
      <c r="G362" s="23"/>
      <c r="H362" s="67" t="s">
        <v>881</v>
      </c>
      <c r="I362" s="67"/>
      <c r="J362" s="63" t="s">
        <v>2337</v>
      </c>
      <c r="K362" s="63" t="s">
        <v>2337</v>
      </c>
      <c r="L362" s="24" t="e">
        <f t="shared" si="8"/>
        <v>#VALUE!</v>
      </c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/>
      <c r="AN362" s="36"/>
    </row>
    <row r="363" spans="1:40" ht="15.75" thickBot="1" x14ac:dyDescent="0.3">
      <c r="A363" t="s">
        <v>251</v>
      </c>
      <c r="B363" s="39" t="s">
        <v>983</v>
      </c>
      <c r="C363" s="39" t="s">
        <v>1039</v>
      </c>
      <c r="D363" s="39" t="s">
        <v>325</v>
      </c>
      <c r="E363" s="67" t="s">
        <v>71</v>
      </c>
      <c r="F363" s="67" t="s">
        <v>1267</v>
      </c>
      <c r="G363" s="23"/>
      <c r="H363" s="67" t="s">
        <v>732</v>
      </c>
      <c r="I363" s="67"/>
      <c r="J363" s="63" t="s">
        <v>1878</v>
      </c>
      <c r="K363" s="63" t="s">
        <v>1878</v>
      </c>
      <c r="L363" s="24" t="e">
        <f t="shared" si="8"/>
        <v>#VALUE!</v>
      </c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</row>
    <row r="364" spans="1:40" ht="15.75" thickBot="1" x14ac:dyDescent="0.3">
      <c r="A364" t="s">
        <v>251</v>
      </c>
      <c r="B364" s="39" t="s">
        <v>984</v>
      </c>
      <c r="C364" s="39" t="s">
        <v>1039</v>
      </c>
      <c r="D364" s="39" t="s">
        <v>325</v>
      </c>
      <c r="E364" s="67" t="s">
        <v>71</v>
      </c>
      <c r="F364" s="67" t="s">
        <v>1267</v>
      </c>
      <c r="G364" s="23"/>
      <c r="H364" s="67" t="s">
        <v>733</v>
      </c>
      <c r="I364" s="67"/>
      <c r="J364" s="63" t="s">
        <v>1879</v>
      </c>
      <c r="K364" s="63" t="s">
        <v>1879</v>
      </c>
      <c r="L364" s="24" t="e">
        <f t="shared" si="8"/>
        <v>#VALUE!</v>
      </c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</row>
    <row r="365" spans="1:40" ht="15.75" thickBot="1" x14ac:dyDescent="0.3">
      <c r="A365" t="s">
        <v>251</v>
      </c>
      <c r="B365" t="s">
        <v>985</v>
      </c>
      <c r="C365" t="s">
        <v>1039</v>
      </c>
      <c r="D365" t="s">
        <v>986</v>
      </c>
      <c r="E365" s="23" t="s">
        <v>18</v>
      </c>
      <c r="F365" s="23" t="s">
        <v>27</v>
      </c>
      <c r="G365" s="23"/>
      <c r="H365" s="23" t="s">
        <v>2143</v>
      </c>
      <c r="I365" s="23"/>
      <c r="J365" s="63" t="s">
        <v>1880</v>
      </c>
      <c r="K365" s="63" t="s">
        <v>1880</v>
      </c>
      <c r="L365" s="24" t="e">
        <f t="shared" si="8"/>
        <v>#VALUE!</v>
      </c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</row>
    <row r="366" spans="1:40" ht="15.75" thickBot="1" x14ac:dyDescent="0.3">
      <c r="A366" t="s">
        <v>251</v>
      </c>
      <c r="B366" t="s">
        <v>987</v>
      </c>
      <c r="C366" t="s">
        <v>1039</v>
      </c>
      <c r="D366" t="s">
        <v>988</v>
      </c>
      <c r="E366" s="23" t="s">
        <v>18</v>
      </c>
      <c r="F366" s="23" t="s">
        <v>27</v>
      </c>
      <c r="G366" s="23"/>
      <c r="H366" s="23" t="s">
        <v>2257</v>
      </c>
      <c r="I366" s="23"/>
      <c r="J366" s="63" t="s">
        <v>1881</v>
      </c>
      <c r="K366" s="63" t="s">
        <v>1881</v>
      </c>
      <c r="L366" s="24" t="e">
        <f t="shared" si="8"/>
        <v>#VALUE!</v>
      </c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</row>
    <row r="367" spans="1:40" ht="15.75" thickBot="1" x14ac:dyDescent="0.3">
      <c r="A367" s="39" t="s">
        <v>1279</v>
      </c>
      <c r="B367" t="s">
        <v>1102</v>
      </c>
      <c r="C367" t="s">
        <v>1039</v>
      </c>
      <c r="D367" t="s">
        <v>1099</v>
      </c>
      <c r="E367" s="23" t="s">
        <v>71</v>
      </c>
      <c r="F367" s="23" t="s">
        <v>27</v>
      </c>
      <c r="G367" s="23"/>
      <c r="H367" s="23" t="s">
        <v>1106</v>
      </c>
      <c r="I367" s="23"/>
      <c r="J367" s="63" t="s">
        <v>1882</v>
      </c>
      <c r="K367" s="63" t="s">
        <v>1882</v>
      </c>
      <c r="L367" s="24" t="e">
        <f t="shared" si="8"/>
        <v>#VALUE!</v>
      </c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</row>
    <row r="368" spans="1:40" ht="15.75" thickBot="1" x14ac:dyDescent="0.3">
      <c r="A368" s="39" t="s">
        <v>1279</v>
      </c>
      <c r="B368" t="s">
        <v>1103</v>
      </c>
      <c r="C368" t="s">
        <v>1039</v>
      </c>
      <c r="D368" t="s">
        <v>1099</v>
      </c>
      <c r="E368" s="23" t="s">
        <v>71</v>
      </c>
      <c r="F368" s="23" t="s">
        <v>27</v>
      </c>
      <c r="G368" s="23"/>
      <c r="H368" s="23" t="s">
        <v>1107</v>
      </c>
      <c r="I368" s="23"/>
      <c r="J368" s="63" t="s">
        <v>1883</v>
      </c>
      <c r="K368" s="63" t="s">
        <v>1883</v>
      </c>
      <c r="L368" s="24" t="e">
        <f t="shared" si="8"/>
        <v>#VALUE!</v>
      </c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  <c r="AL368" s="36"/>
      <c r="AM368" s="36"/>
      <c r="AN368" s="36"/>
    </row>
    <row r="369" spans="1:40" s="39" customFormat="1" ht="15.75" thickBot="1" x14ac:dyDescent="0.3">
      <c r="A369" s="39" t="s">
        <v>1279</v>
      </c>
      <c r="B369" t="s">
        <v>1104</v>
      </c>
      <c r="C369" t="s">
        <v>1039</v>
      </c>
      <c r="D369" t="s">
        <v>1100</v>
      </c>
      <c r="E369" s="23" t="s">
        <v>71</v>
      </c>
      <c r="F369" s="23" t="s">
        <v>27</v>
      </c>
      <c r="G369" s="23"/>
      <c r="H369" s="23" t="s">
        <v>1108</v>
      </c>
      <c r="I369" s="23"/>
      <c r="J369" s="63" t="s">
        <v>1884</v>
      </c>
      <c r="K369" s="63" t="s">
        <v>1884</v>
      </c>
      <c r="L369" s="24" t="e">
        <f t="shared" si="8"/>
        <v>#VALUE!</v>
      </c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  <c r="AL369" s="36"/>
      <c r="AM369" s="36"/>
      <c r="AN369" s="36"/>
    </row>
    <row r="370" spans="1:40" s="39" customFormat="1" ht="15.75" thickBot="1" x14ac:dyDescent="0.3">
      <c r="A370" s="39" t="s">
        <v>1279</v>
      </c>
      <c r="B370" t="s">
        <v>1105</v>
      </c>
      <c r="C370" t="s">
        <v>1039</v>
      </c>
      <c r="D370" t="s">
        <v>1100</v>
      </c>
      <c r="E370" s="23" t="s">
        <v>71</v>
      </c>
      <c r="F370" s="23" t="s">
        <v>27</v>
      </c>
      <c r="G370" s="23"/>
      <c r="H370" s="23" t="s">
        <v>1109</v>
      </c>
      <c r="I370" s="23"/>
      <c r="J370" s="63" t="s">
        <v>1885</v>
      </c>
      <c r="K370" s="63" t="s">
        <v>1885</v>
      </c>
      <c r="L370" s="24" t="e">
        <f t="shared" si="8"/>
        <v>#VALUE!</v>
      </c>
      <c r="M370" s="36"/>
      <c r="N370" s="36"/>
      <c r="O370" s="36"/>
      <c r="P370" s="36"/>
      <c r="Q370" s="36"/>
      <c r="R370" s="36"/>
      <c r="S370" s="36"/>
      <c r="T370" s="36"/>
      <c r="U370" s="36" t="s">
        <v>2188</v>
      </c>
      <c r="V370" s="36" t="s">
        <v>2188</v>
      </c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  <c r="AL370" s="36"/>
      <c r="AM370" s="36"/>
      <c r="AN370" s="36"/>
    </row>
    <row r="371" spans="1:40" s="39" customFormat="1" ht="15.75" thickBot="1" x14ac:dyDescent="0.3">
      <c r="A371" s="39" t="s">
        <v>1279</v>
      </c>
      <c r="B371" t="s">
        <v>1203</v>
      </c>
      <c r="C371" t="s">
        <v>1039</v>
      </c>
      <c r="D371" t="s">
        <v>1204</v>
      </c>
      <c r="E371" t="s">
        <v>18</v>
      </c>
      <c r="F371" t="s">
        <v>27</v>
      </c>
      <c r="G371"/>
      <c r="H371" s="23" t="s">
        <v>1210</v>
      </c>
      <c r="I371" s="23"/>
      <c r="J371" s="63" t="s">
        <v>1886</v>
      </c>
      <c r="K371" s="63" t="s">
        <v>1886</v>
      </c>
      <c r="L371" s="24" t="e">
        <f t="shared" si="8"/>
        <v>#VALUE!</v>
      </c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</row>
    <row r="372" spans="1:40" s="39" customFormat="1" ht="15.75" thickBot="1" x14ac:dyDescent="0.3">
      <c r="A372" s="39" t="s">
        <v>1279</v>
      </c>
      <c r="B372" t="s">
        <v>1205</v>
      </c>
      <c r="C372" t="s">
        <v>1039</v>
      </c>
      <c r="D372" t="s">
        <v>1206</v>
      </c>
      <c r="E372" t="s">
        <v>18</v>
      </c>
      <c r="F372" t="s">
        <v>27</v>
      </c>
      <c r="G372"/>
      <c r="H372" s="23" t="s">
        <v>1211</v>
      </c>
      <c r="I372" s="23"/>
      <c r="J372" s="63" t="s">
        <v>1887</v>
      </c>
      <c r="K372" s="63" t="s">
        <v>1887</v>
      </c>
      <c r="L372" s="24" t="e">
        <f t="shared" si="8"/>
        <v>#VALUE!</v>
      </c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  <c r="AL372" s="36"/>
      <c r="AM372" s="36"/>
      <c r="AN372" s="36"/>
    </row>
    <row r="373" spans="1:40" ht="15.75" thickBot="1" x14ac:dyDescent="0.3">
      <c r="A373" t="s">
        <v>371</v>
      </c>
      <c r="B373" s="39" t="s">
        <v>1508</v>
      </c>
      <c r="C373" s="39" t="s">
        <v>1039</v>
      </c>
      <c r="D373" s="39" t="s">
        <v>1511</v>
      </c>
      <c r="E373" s="67" t="s">
        <v>71</v>
      </c>
      <c r="F373" s="67" t="s">
        <v>1267</v>
      </c>
      <c r="G373"/>
      <c r="H373" s="67" t="s">
        <v>1512</v>
      </c>
      <c r="I373" s="67"/>
      <c r="J373" s="63" t="s">
        <v>1888</v>
      </c>
      <c r="K373" s="63" t="s">
        <v>1888</v>
      </c>
      <c r="L373" s="24" t="e">
        <f t="shared" si="8"/>
        <v>#VALUE!</v>
      </c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</row>
    <row r="374" spans="1:40" ht="15.75" thickBot="1" x14ac:dyDescent="0.3">
      <c r="A374" t="s">
        <v>371</v>
      </c>
      <c r="B374" s="39" t="s">
        <v>1509</v>
      </c>
      <c r="C374" s="39" t="s">
        <v>1039</v>
      </c>
      <c r="D374" s="39" t="s">
        <v>1513</v>
      </c>
      <c r="E374" s="39" t="s">
        <v>71</v>
      </c>
      <c r="F374" s="67" t="s">
        <v>1267</v>
      </c>
      <c r="G374"/>
      <c r="H374" s="67" t="s">
        <v>1514</v>
      </c>
      <c r="I374" s="67"/>
      <c r="J374" s="63" t="s">
        <v>1889</v>
      </c>
      <c r="K374" s="63" t="s">
        <v>1889</v>
      </c>
      <c r="L374" s="24" t="e">
        <f t="shared" si="8"/>
        <v>#VALUE!</v>
      </c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  <c r="AL374" s="36"/>
      <c r="AM374" s="36"/>
      <c r="AN374" s="36"/>
    </row>
    <row r="375" spans="1:40" s="39" customFormat="1" ht="15.75" thickBot="1" x14ac:dyDescent="0.3">
      <c r="A375" s="39" t="s">
        <v>376</v>
      </c>
      <c r="B375" s="39" t="s">
        <v>1510</v>
      </c>
      <c r="C375" s="39" t="s">
        <v>1039</v>
      </c>
      <c r="D375" s="39" t="s">
        <v>1515</v>
      </c>
      <c r="E375" s="39" t="s">
        <v>71</v>
      </c>
      <c r="F375" s="67" t="s">
        <v>1267</v>
      </c>
      <c r="G375"/>
      <c r="H375" s="67" t="s">
        <v>1516</v>
      </c>
      <c r="I375" s="67"/>
      <c r="J375" s="63" t="s">
        <v>1890</v>
      </c>
      <c r="K375" s="63" t="s">
        <v>1890</v>
      </c>
      <c r="L375" s="62" t="e">
        <f t="shared" si="8"/>
        <v>#VALUE!</v>
      </c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</row>
    <row r="376" spans="1:40" s="39" customFormat="1" ht="15.75" thickBot="1" x14ac:dyDescent="0.3">
      <c r="A376" s="39" t="s">
        <v>371</v>
      </c>
      <c r="B376" s="39" t="s">
        <v>1565</v>
      </c>
      <c r="C376" s="39" t="s">
        <v>1039</v>
      </c>
      <c r="D376" s="39" t="s">
        <v>1566</v>
      </c>
      <c r="E376" s="39" t="s">
        <v>18</v>
      </c>
      <c r="F376" s="67" t="s">
        <v>1267</v>
      </c>
      <c r="G376"/>
      <c r="H376" s="67" t="s">
        <v>1567</v>
      </c>
      <c r="I376" s="67"/>
      <c r="J376" s="63" t="s">
        <v>2066</v>
      </c>
      <c r="K376" s="63" t="s">
        <v>2066</v>
      </c>
      <c r="L376" s="62" t="e">
        <f t="shared" si="8"/>
        <v>#VALUE!</v>
      </c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36"/>
    </row>
    <row r="377" spans="1:40" ht="15.75" thickBot="1" x14ac:dyDescent="0.3">
      <c r="A377" t="s">
        <v>281</v>
      </c>
      <c r="B377" t="s">
        <v>369</v>
      </c>
      <c r="C377" t="s">
        <v>1039</v>
      </c>
      <c r="D377" t="s">
        <v>370</v>
      </c>
      <c r="E377" s="23" t="s">
        <v>18</v>
      </c>
      <c r="F377" s="23" t="s">
        <v>27</v>
      </c>
      <c r="G377" s="23"/>
      <c r="H377" s="23" t="s">
        <v>763</v>
      </c>
      <c r="I377" s="23"/>
      <c r="J377" s="63" t="s">
        <v>1877</v>
      </c>
      <c r="K377" s="63" t="s">
        <v>1877</v>
      </c>
      <c r="L377" s="24" t="e">
        <f t="shared" si="8"/>
        <v>#VALUE!</v>
      </c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  <c r="AL377" s="36"/>
      <c r="AM377" s="36"/>
      <c r="AN377" s="36"/>
    </row>
    <row r="378" spans="1:40" ht="15.75" thickBot="1" x14ac:dyDescent="0.3">
      <c r="A378" t="s">
        <v>281</v>
      </c>
      <c r="B378" t="s">
        <v>372</v>
      </c>
      <c r="C378" t="s">
        <v>1039</v>
      </c>
      <c r="D378" t="s">
        <v>373</v>
      </c>
      <c r="E378" s="23" t="s">
        <v>18</v>
      </c>
      <c r="F378" s="23" t="s">
        <v>27</v>
      </c>
      <c r="G378"/>
      <c r="H378" s="23" t="s">
        <v>764</v>
      </c>
      <c r="I378" s="23" t="s">
        <v>2275</v>
      </c>
      <c r="J378" s="63" t="s">
        <v>1891</v>
      </c>
      <c r="K378" s="63" t="s">
        <v>1891</v>
      </c>
      <c r="L378" s="24" t="e">
        <f t="shared" si="8"/>
        <v>#VALUE!</v>
      </c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36"/>
    </row>
    <row r="379" spans="1:40" ht="15.75" thickBot="1" x14ac:dyDescent="0.3">
      <c r="A379" t="s">
        <v>281</v>
      </c>
      <c r="B379" t="s">
        <v>374</v>
      </c>
      <c r="C379" t="s">
        <v>1039</v>
      </c>
      <c r="D379" t="s">
        <v>375</v>
      </c>
      <c r="E379" s="23" t="s">
        <v>18</v>
      </c>
      <c r="F379" s="23" t="s">
        <v>1267</v>
      </c>
      <c r="G379"/>
      <c r="H379" s="23" t="s">
        <v>765</v>
      </c>
      <c r="I379" s="23"/>
      <c r="J379" s="63" t="s">
        <v>1892</v>
      </c>
      <c r="K379" s="63" t="s">
        <v>1892</v>
      </c>
      <c r="L379" s="24" t="e">
        <f t="shared" si="8"/>
        <v>#VALUE!</v>
      </c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36"/>
    </row>
    <row r="380" spans="1:40" ht="15.75" thickBot="1" x14ac:dyDescent="0.3">
      <c r="A380" t="s">
        <v>281</v>
      </c>
      <c r="B380" s="39" t="s">
        <v>377</v>
      </c>
      <c r="C380" s="39" t="s">
        <v>1039</v>
      </c>
      <c r="D380" s="39" t="s">
        <v>378</v>
      </c>
      <c r="E380" s="67" t="s">
        <v>18</v>
      </c>
      <c r="F380" s="67" t="s">
        <v>1267</v>
      </c>
      <c r="G380"/>
      <c r="H380" s="67" t="s">
        <v>1420</v>
      </c>
      <c r="I380" s="67"/>
      <c r="J380" s="63" t="s">
        <v>2338</v>
      </c>
      <c r="K380" s="63" t="s">
        <v>2338</v>
      </c>
      <c r="L380" s="24" t="e">
        <f t="shared" si="8"/>
        <v>#VALUE!</v>
      </c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</row>
    <row r="381" spans="1:40" ht="15.75" thickBot="1" x14ac:dyDescent="0.3">
      <c r="A381" t="s">
        <v>281</v>
      </c>
      <c r="B381" s="39" t="s">
        <v>2093</v>
      </c>
      <c r="C381" s="39" t="s">
        <v>1039</v>
      </c>
      <c r="D381" s="39" t="s">
        <v>2094</v>
      </c>
      <c r="E381" s="67" t="s">
        <v>71</v>
      </c>
      <c r="F381" s="23" t="s">
        <v>1267</v>
      </c>
      <c r="G381"/>
      <c r="H381" s="67" t="s">
        <v>2095</v>
      </c>
      <c r="I381" s="67" t="s">
        <v>2275</v>
      </c>
      <c r="J381" s="63" t="s">
        <v>2096</v>
      </c>
      <c r="K381" s="63" t="s">
        <v>2096</v>
      </c>
      <c r="L381" s="24" t="e">
        <f t="shared" si="8"/>
        <v>#VALUE!</v>
      </c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  <c r="AL381" s="36"/>
      <c r="AM381" s="36"/>
      <c r="AN381" s="36"/>
    </row>
    <row r="382" spans="1:40" s="39" customFormat="1" ht="15.75" thickBot="1" x14ac:dyDescent="0.3">
      <c r="A382" s="39" t="s">
        <v>281</v>
      </c>
      <c r="B382" t="s">
        <v>989</v>
      </c>
      <c r="C382" t="s">
        <v>1039</v>
      </c>
      <c r="D382" t="s">
        <v>381</v>
      </c>
      <c r="E382" s="23" t="s">
        <v>18</v>
      </c>
      <c r="F382" s="23" t="s">
        <v>1267</v>
      </c>
      <c r="G382" s="23"/>
      <c r="H382" s="23" t="s">
        <v>769</v>
      </c>
      <c r="I382" s="23"/>
      <c r="J382" s="63" t="s">
        <v>2339</v>
      </c>
      <c r="K382" s="63" t="s">
        <v>2339</v>
      </c>
      <c r="L382" s="24" t="e">
        <f t="shared" si="8"/>
        <v>#VALUE!</v>
      </c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36"/>
    </row>
    <row r="383" spans="1:40" s="44" customFormat="1" ht="15.75" thickBot="1" x14ac:dyDescent="0.3">
      <c r="A383" s="44" t="s">
        <v>389</v>
      </c>
      <c r="B383" t="s">
        <v>379</v>
      </c>
      <c r="C383" t="s">
        <v>1039</v>
      </c>
      <c r="D383" t="s">
        <v>380</v>
      </c>
      <c r="E383" s="23" t="s">
        <v>18</v>
      </c>
      <c r="F383" s="23" t="s">
        <v>27</v>
      </c>
      <c r="G383"/>
      <c r="H383" s="23" t="s">
        <v>768</v>
      </c>
      <c r="I383" s="23" t="s">
        <v>2275</v>
      </c>
      <c r="J383" s="63" t="s">
        <v>1893</v>
      </c>
      <c r="K383" s="63" t="s">
        <v>1893</v>
      </c>
      <c r="L383" s="24" t="e">
        <f t="shared" si="8"/>
        <v>#VALUE!</v>
      </c>
      <c r="M383" s="36" t="s">
        <v>2188</v>
      </c>
      <c r="N383" s="36" t="s">
        <v>2188</v>
      </c>
      <c r="O383" s="36" t="s">
        <v>2188</v>
      </c>
      <c r="P383" s="36" t="s">
        <v>2188</v>
      </c>
      <c r="Q383" s="36" t="s">
        <v>2188</v>
      </c>
      <c r="R383" s="36" t="s">
        <v>2188</v>
      </c>
      <c r="S383" s="36"/>
      <c r="T383" s="36"/>
      <c r="U383" s="36" t="s">
        <v>2188</v>
      </c>
      <c r="V383" s="36" t="s">
        <v>2188</v>
      </c>
      <c r="W383" s="36" t="s">
        <v>2188</v>
      </c>
      <c r="X383" s="36" t="s">
        <v>2188</v>
      </c>
      <c r="Y383" s="36"/>
      <c r="Z383" s="36"/>
      <c r="AA383" s="36"/>
      <c r="AB383" s="36"/>
      <c r="AC383" s="36"/>
      <c r="AD383" s="36"/>
      <c r="AE383" s="45"/>
      <c r="AF383" s="45"/>
      <c r="AG383" s="36"/>
      <c r="AH383" s="45"/>
      <c r="AI383" s="45"/>
      <c r="AJ383" s="45"/>
      <c r="AK383" s="45"/>
      <c r="AL383" s="45"/>
      <c r="AM383" s="45"/>
      <c r="AN383" s="45"/>
    </row>
    <row r="384" spans="1:40" s="39" customFormat="1" ht="15.75" thickBot="1" x14ac:dyDescent="0.3">
      <c r="A384" s="39" t="s">
        <v>371</v>
      </c>
      <c r="B384" t="s">
        <v>382</v>
      </c>
      <c r="C384" t="s">
        <v>1039</v>
      </c>
      <c r="D384" t="s">
        <v>383</v>
      </c>
      <c r="E384" s="23" t="s">
        <v>71</v>
      </c>
      <c r="F384" s="23" t="s">
        <v>27</v>
      </c>
      <c r="G384" s="23"/>
      <c r="H384" s="23" t="s">
        <v>766</v>
      </c>
      <c r="I384" s="23" t="s">
        <v>2275</v>
      </c>
      <c r="J384" s="63" t="s">
        <v>1894</v>
      </c>
      <c r="K384" s="63" t="s">
        <v>1894</v>
      </c>
      <c r="L384" s="62" t="e">
        <f t="shared" si="8"/>
        <v>#VALUE!</v>
      </c>
      <c r="M384" s="36"/>
      <c r="N384" s="36"/>
      <c r="O384" s="36"/>
      <c r="P384" s="36" t="s">
        <v>2188</v>
      </c>
      <c r="Q384" s="36" t="s">
        <v>2188</v>
      </c>
      <c r="R384" s="36" t="s">
        <v>2188</v>
      </c>
      <c r="S384" s="36"/>
      <c r="T384" s="36"/>
      <c r="U384" s="36" t="s">
        <v>2188</v>
      </c>
      <c r="V384" s="36" t="s">
        <v>2188</v>
      </c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36"/>
    </row>
    <row r="385" spans="1:40" s="39" customFormat="1" ht="15.75" thickBot="1" x14ac:dyDescent="0.3">
      <c r="A385" s="39" t="s">
        <v>371</v>
      </c>
      <c r="B385" t="s">
        <v>384</v>
      </c>
      <c r="C385" t="s">
        <v>1039</v>
      </c>
      <c r="D385" t="s">
        <v>383</v>
      </c>
      <c r="E385" s="23" t="s">
        <v>71</v>
      </c>
      <c r="F385" s="23" t="s">
        <v>27</v>
      </c>
      <c r="G385" s="23"/>
      <c r="H385" s="23" t="s">
        <v>767</v>
      </c>
      <c r="I385" s="23" t="s">
        <v>2275</v>
      </c>
      <c r="J385" s="63" t="s">
        <v>1895</v>
      </c>
      <c r="K385" s="63" t="s">
        <v>1895</v>
      </c>
      <c r="L385" s="42" t="e">
        <f t="shared" si="8"/>
        <v>#VALUE!</v>
      </c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  <c r="AN385" s="43"/>
    </row>
    <row r="386" spans="1:40" ht="15.75" thickBot="1" x14ac:dyDescent="0.3">
      <c r="A386" t="s">
        <v>389</v>
      </c>
      <c r="B386" t="s">
        <v>1231</v>
      </c>
      <c r="C386" t="s">
        <v>1039</v>
      </c>
      <c r="D386" t="s">
        <v>1232</v>
      </c>
      <c r="E386" s="23" t="s">
        <v>15</v>
      </c>
      <c r="F386" s="23" t="s">
        <v>1033</v>
      </c>
      <c r="G386" s="23" t="s">
        <v>1234</v>
      </c>
      <c r="H386" s="23" t="s">
        <v>1233</v>
      </c>
      <c r="I386" s="23" t="s">
        <v>2275</v>
      </c>
      <c r="J386" s="63" t="s">
        <v>1896</v>
      </c>
      <c r="K386" s="63" t="s">
        <v>1896</v>
      </c>
      <c r="L386" s="24" t="e">
        <f t="shared" si="8"/>
        <v>#VALUE!</v>
      </c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 t="s">
        <v>2188</v>
      </c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  <c r="AL386" s="36"/>
      <c r="AM386" s="36"/>
      <c r="AN386" s="36"/>
    </row>
    <row r="387" spans="1:40" ht="15.75" thickBot="1" x14ac:dyDescent="0.3">
      <c r="A387" t="s">
        <v>389</v>
      </c>
      <c r="B387" s="39" t="s">
        <v>385</v>
      </c>
      <c r="C387" s="39" t="s">
        <v>1039</v>
      </c>
      <c r="D387" s="39" t="s">
        <v>386</v>
      </c>
      <c r="E387" s="67" t="s">
        <v>18</v>
      </c>
      <c r="F387" s="67" t="s">
        <v>1267</v>
      </c>
      <c r="G387" s="67"/>
      <c r="H387" s="67" t="s">
        <v>2047</v>
      </c>
      <c r="I387" s="67" t="s">
        <v>2275</v>
      </c>
      <c r="J387" s="63" t="s">
        <v>2340</v>
      </c>
      <c r="K387" s="63" t="s">
        <v>2340</v>
      </c>
      <c r="L387" s="24" t="e">
        <f t="shared" si="8"/>
        <v>#VALUE!</v>
      </c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 t="s">
        <v>2188</v>
      </c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36"/>
    </row>
    <row r="388" spans="1:40" ht="15.75" thickBot="1" x14ac:dyDescent="0.3">
      <c r="A388" t="s">
        <v>389</v>
      </c>
      <c r="B388" s="39" t="s">
        <v>387</v>
      </c>
      <c r="C388" s="39" t="s">
        <v>1039</v>
      </c>
      <c r="D388" s="39" t="s">
        <v>388</v>
      </c>
      <c r="E388" s="67" t="s">
        <v>15</v>
      </c>
      <c r="F388" s="67" t="s">
        <v>27</v>
      </c>
      <c r="G388" s="67"/>
      <c r="H388" s="67" t="s">
        <v>1453</v>
      </c>
      <c r="I388" s="67"/>
      <c r="J388" s="63" t="s">
        <v>1898</v>
      </c>
      <c r="K388" s="63" t="s">
        <v>1898</v>
      </c>
      <c r="L388" s="24" t="e">
        <f t="shared" si="8"/>
        <v>#VALUE!</v>
      </c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 t="s">
        <v>2188</v>
      </c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36"/>
    </row>
    <row r="389" spans="1:40" ht="15.75" thickBot="1" x14ac:dyDescent="0.3">
      <c r="A389" s="35" t="s">
        <v>396</v>
      </c>
      <c r="B389" t="s">
        <v>390</v>
      </c>
      <c r="C389" t="s">
        <v>1039</v>
      </c>
      <c r="D389" t="s">
        <v>391</v>
      </c>
      <c r="E389" s="23" t="s">
        <v>18</v>
      </c>
      <c r="F389" s="23" t="s">
        <v>27</v>
      </c>
      <c r="G389" s="23"/>
      <c r="H389" s="23" t="s">
        <v>771</v>
      </c>
      <c r="I389" s="23" t="s">
        <v>2275</v>
      </c>
      <c r="J389" s="63" t="s">
        <v>1899</v>
      </c>
      <c r="K389" s="63" t="s">
        <v>1899</v>
      </c>
      <c r="L389" s="24" t="e">
        <f t="shared" ref="L389:L470" si="9">(I389)/(K389+I389)</f>
        <v>#VALUE!</v>
      </c>
      <c r="M389" s="36" t="s">
        <v>2188</v>
      </c>
      <c r="N389" s="36" t="s">
        <v>2188</v>
      </c>
      <c r="O389" s="36" t="s">
        <v>2188</v>
      </c>
      <c r="P389" s="36" t="s">
        <v>2188</v>
      </c>
      <c r="Q389" s="36" t="s">
        <v>2188</v>
      </c>
      <c r="R389" s="36" t="s">
        <v>2188</v>
      </c>
      <c r="S389" s="36"/>
      <c r="T389" s="36"/>
      <c r="U389" s="36" t="s">
        <v>2188</v>
      </c>
      <c r="V389" s="36" t="s">
        <v>2188</v>
      </c>
      <c r="W389" s="36" t="s">
        <v>2188</v>
      </c>
      <c r="X389" s="36" t="s">
        <v>2188</v>
      </c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36"/>
    </row>
    <row r="390" spans="1:40" ht="15.75" thickBot="1" x14ac:dyDescent="0.3">
      <c r="A390" s="35" t="s">
        <v>396</v>
      </c>
      <c r="B390" t="s">
        <v>392</v>
      </c>
      <c r="C390" t="s">
        <v>1039</v>
      </c>
      <c r="D390" t="s">
        <v>391</v>
      </c>
      <c r="E390" s="23" t="s">
        <v>71</v>
      </c>
      <c r="F390" s="23" t="s">
        <v>27</v>
      </c>
      <c r="G390" s="23"/>
      <c r="H390" s="23" t="s">
        <v>772</v>
      </c>
      <c r="I390" s="23" t="s">
        <v>2275</v>
      </c>
      <c r="J390" s="63" t="s">
        <v>1900</v>
      </c>
      <c r="K390" s="63" t="s">
        <v>1900</v>
      </c>
      <c r="L390" s="24" t="e">
        <f t="shared" si="9"/>
        <v>#VALUE!</v>
      </c>
      <c r="M390" s="36" t="s">
        <v>2188</v>
      </c>
      <c r="N390" s="36" t="s">
        <v>2188</v>
      </c>
      <c r="O390" s="36" t="s">
        <v>2188</v>
      </c>
      <c r="P390" s="36" t="s">
        <v>2188</v>
      </c>
      <c r="Q390" s="36" t="s">
        <v>2188</v>
      </c>
      <c r="R390" s="36" t="s">
        <v>2188</v>
      </c>
      <c r="S390" s="36"/>
      <c r="T390" s="36"/>
      <c r="U390" s="36" t="s">
        <v>2188</v>
      </c>
      <c r="V390" s="36" t="s">
        <v>2188</v>
      </c>
      <c r="W390" s="36" t="s">
        <v>2188</v>
      </c>
      <c r="X390" s="36" t="s">
        <v>2188</v>
      </c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36"/>
    </row>
    <row r="391" spans="1:40" ht="15.75" thickBot="1" x14ac:dyDescent="0.3">
      <c r="A391" t="s">
        <v>389</v>
      </c>
      <c r="B391" t="s">
        <v>393</v>
      </c>
      <c r="C391" t="s">
        <v>1039</v>
      </c>
      <c r="D391" t="s">
        <v>391</v>
      </c>
      <c r="E391" s="23" t="s">
        <v>71</v>
      </c>
      <c r="F391" s="23" t="s">
        <v>27</v>
      </c>
      <c r="G391" s="23"/>
      <c r="H391" s="23" t="s">
        <v>773</v>
      </c>
      <c r="I391" s="23" t="s">
        <v>2275</v>
      </c>
      <c r="J391" s="63" t="s">
        <v>1901</v>
      </c>
      <c r="K391" s="63" t="s">
        <v>1901</v>
      </c>
      <c r="L391" s="24" t="e">
        <f t="shared" si="9"/>
        <v>#VALUE!</v>
      </c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 t="s">
        <v>2188</v>
      </c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36"/>
    </row>
    <row r="392" spans="1:40" s="78" customFormat="1" ht="15.75" thickBot="1" x14ac:dyDescent="0.3">
      <c r="A392" s="78" t="s">
        <v>389</v>
      </c>
      <c r="B392" s="35" t="s">
        <v>883</v>
      </c>
      <c r="C392" s="35" t="s">
        <v>1039</v>
      </c>
      <c r="D392" s="35" t="s">
        <v>884</v>
      </c>
      <c r="E392" s="72" t="s">
        <v>18</v>
      </c>
      <c r="F392" s="72" t="s">
        <v>27</v>
      </c>
      <c r="G392" s="72"/>
      <c r="H392" s="72" t="s">
        <v>891</v>
      </c>
      <c r="I392" s="72" t="s">
        <v>2275</v>
      </c>
      <c r="J392" s="73" t="s">
        <v>1908</v>
      </c>
      <c r="K392" s="73" t="s">
        <v>1908</v>
      </c>
      <c r="L392" s="79" t="e">
        <f t="shared" si="9"/>
        <v>#VALUE!</v>
      </c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 t="s">
        <v>2188</v>
      </c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  <c r="AN392" s="80"/>
    </row>
    <row r="393" spans="1:40" ht="15.75" thickBot="1" x14ac:dyDescent="0.3">
      <c r="A393" t="s">
        <v>389</v>
      </c>
      <c r="B393" s="35" t="s">
        <v>885</v>
      </c>
      <c r="C393" s="35" t="s">
        <v>1039</v>
      </c>
      <c r="D393" s="35" t="s">
        <v>886</v>
      </c>
      <c r="E393" s="72" t="s">
        <v>18</v>
      </c>
      <c r="F393" s="72" t="s">
        <v>27</v>
      </c>
      <c r="G393" s="72"/>
      <c r="H393" s="72" t="s">
        <v>892</v>
      </c>
      <c r="I393" s="72" t="s">
        <v>2275</v>
      </c>
      <c r="J393" s="73" t="s">
        <v>1909</v>
      </c>
      <c r="K393" s="73" t="s">
        <v>1909</v>
      </c>
      <c r="L393" s="24" t="e">
        <f t="shared" si="9"/>
        <v>#VALUE!</v>
      </c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 t="s">
        <v>2188</v>
      </c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  <c r="AN393" s="36"/>
    </row>
    <row r="394" spans="1:40" ht="15.75" thickBot="1" x14ac:dyDescent="0.3">
      <c r="A394" t="s">
        <v>389</v>
      </c>
      <c r="B394" t="s">
        <v>990</v>
      </c>
      <c r="C394" t="s">
        <v>1039</v>
      </c>
      <c r="D394" t="s">
        <v>991</v>
      </c>
      <c r="E394" s="23" t="s">
        <v>18</v>
      </c>
      <c r="F394" s="23" t="s">
        <v>1267</v>
      </c>
      <c r="G394" s="23"/>
      <c r="H394" s="23" t="s">
        <v>1189</v>
      </c>
      <c r="I394" s="23" t="s">
        <v>2275</v>
      </c>
      <c r="J394" s="63" t="s">
        <v>1910</v>
      </c>
      <c r="K394" s="63" t="s">
        <v>1910</v>
      </c>
      <c r="L394" s="24" t="e">
        <f t="shared" si="9"/>
        <v>#VALUE!</v>
      </c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 t="s">
        <v>2188</v>
      </c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  <c r="AN394" s="36"/>
    </row>
    <row r="395" spans="1:40" ht="15.75" thickBot="1" x14ac:dyDescent="0.3">
      <c r="A395" s="35" t="s">
        <v>396</v>
      </c>
      <c r="B395" s="39" t="s">
        <v>1388</v>
      </c>
      <c r="C395" s="39" t="s">
        <v>1039</v>
      </c>
      <c r="D395" s="39" t="s">
        <v>1391</v>
      </c>
      <c r="E395" s="23" t="s">
        <v>18</v>
      </c>
      <c r="F395" s="67" t="s">
        <v>1267</v>
      </c>
      <c r="G395" s="23"/>
      <c r="H395" s="67" t="s">
        <v>2258</v>
      </c>
      <c r="I395" s="67"/>
      <c r="J395" s="63" t="s">
        <v>1911</v>
      </c>
      <c r="K395" s="63" t="s">
        <v>1911</v>
      </c>
      <c r="L395" s="24" t="e">
        <f t="shared" si="9"/>
        <v>#VALUE!</v>
      </c>
      <c r="M395" s="36" t="s">
        <v>2188</v>
      </c>
      <c r="N395" s="36" t="s">
        <v>2188</v>
      </c>
      <c r="O395" s="36" t="s">
        <v>2188</v>
      </c>
      <c r="P395" s="36" t="s">
        <v>2188</v>
      </c>
      <c r="Q395" s="36" t="s">
        <v>2188</v>
      </c>
      <c r="R395" s="36" t="s">
        <v>2188</v>
      </c>
      <c r="S395" s="36"/>
      <c r="T395" s="36"/>
      <c r="U395" s="36" t="s">
        <v>2188</v>
      </c>
      <c r="V395" s="36" t="s">
        <v>2188</v>
      </c>
      <c r="W395" s="36" t="s">
        <v>2188</v>
      </c>
      <c r="X395" s="36" t="s">
        <v>2188</v>
      </c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</row>
    <row r="396" spans="1:40" ht="15.75" thickBot="1" x14ac:dyDescent="0.3">
      <c r="A396" s="35" t="s">
        <v>389</v>
      </c>
      <c r="B396" t="s">
        <v>1389</v>
      </c>
      <c r="C396" t="s">
        <v>1039</v>
      </c>
      <c r="D396" t="s">
        <v>1391</v>
      </c>
      <c r="E396" s="23" t="s">
        <v>71</v>
      </c>
      <c r="F396" s="23" t="s">
        <v>1267</v>
      </c>
      <c r="G396" s="23"/>
      <c r="H396" s="67" t="s">
        <v>1439</v>
      </c>
      <c r="I396" s="67"/>
      <c r="J396" s="63" t="s">
        <v>1912</v>
      </c>
      <c r="K396" s="63" t="s">
        <v>1912</v>
      </c>
      <c r="L396" s="24" t="e">
        <f t="shared" si="9"/>
        <v>#VALUE!</v>
      </c>
      <c r="M396" s="36" t="s">
        <v>2188</v>
      </c>
      <c r="N396" s="36" t="s">
        <v>2188</v>
      </c>
      <c r="O396" s="36" t="s">
        <v>2188</v>
      </c>
      <c r="P396" s="36" t="s">
        <v>2188</v>
      </c>
      <c r="Q396" s="36" t="s">
        <v>2188</v>
      </c>
      <c r="R396" s="36" t="s">
        <v>2188</v>
      </c>
      <c r="S396" s="36"/>
      <c r="T396" s="36"/>
      <c r="U396" s="36" t="s">
        <v>2188</v>
      </c>
      <c r="V396" s="36" t="s">
        <v>2188</v>
      </c>
      <c r="W396" s="36" t="s">
        <v>2188</v>
      </c>
      <c r="X396" s="36" t="s">
        <v>2188</v>
      </c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  <c r="AN396" s="36"/>
    </row>
    <row r="397" spans="1:40" ht="15.75" thickBot="1" x14ac:dyDescent="0.3">
      <c r="A397" t="s">
        <v>389</v>
      </c>
      <c r="B397" t="s">
        <v>1390</v>
      </c>
      <c r="C397" t="s">
        <v>1039</v>
      </c>
      <c r="D397" t="s">
        <v>1391</v>
      </c>
      <c r="E397" s="23" t="s">
        <v>71</v>
      </c>
      <c r="F397" s="23" t="s">
        <v>1267</v>
      </c>
      <c r="G397" s="23"/>
      <c r="H397" s="67" t="s">
        <v>1437</v>
      </c>
      <c r="I397" s="67"/>
      <c r="J397" s="63" t="s">
        <v>1913</v>
      </c>
      <c r="K397" s="63" t="s">
        <v>1913</v>
      </c>
      <c r="L397" s="24" t="e">
        <f t="shared" si="9"/>
        <v>#VALUE!</v>
      </c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 t="s">
        <v>2188</v>
      </c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</row>
    <row r="398" spans="1:40" ht="15.75" thickBot="1" x14ac:dyDescent="0.3">
      <c r="A398" t="s">
        <v>389</v>
      </c>
      <c r="B398" t="s">
        <v>1563</v>
      </c>
      <c r="C398" t="s">
        <v>1039</v>
      </c>
      <c r="D398" t="s">
        <v>2222</v>
      </c>
      <c r="E398" s="23" t="s">
        <v>18</v>
      </c>
      <c r="F398" s="23" t="s">
        <v>27</v>
      </c>
      <c r="G398" s="23"/>
      <c r="H398" s="67" t="s">
        <v>1564</v>
      </c>
      <c r="I398" s="67"/>
      <c r="J398" s="63" t="s">
        <v>2341</v>
      </c>
      <c r="K398" s="63" t="s">
        <v>2341</v>
      </c>
      <c r="L398" s="76" t="e">
        <f t="shared" si="9"/>
        <v>#VALUE!</v>
      </c>
      <c r="M398" s="77"/>
      <c r="N398" s="77"/>
      <c r="O398" s="77"/>
    </row>
    <row r="399" spans="1:40" ht="15.75" thickBot="1" x14ac:dyDescent="0.3">
      <c r="A399" t="s">
        <v>389</v>
      </c>
      <c r="B399" t="s">
        <v>2182</v>
      </c>
      <c r="C399" t="s">
        <v>1039</v>
      </c>
      <c r="D399" t="s">
        <v>2183</v>
      </c>
      <c r="E399" s="23" t="s">
        <v>18</v>
      </c>
      <c r="F399" s="67" t="s">
        <v>1267</v>
      </c>
      <c r="G399" s="23"/>
      <c r="H399" s="67" t="s">
        <v>2259</v>
      </c>
      <c r="I399" s="67"/>
      <c r="J399" s="63" t="s">
        <v>2342</v>
      </c>
      <c r="K399" s="63" t="s">
        <v>2342</v>
      </c>
      <c r="L399" s="24" t="e">
        <f t="shared" si="9"/>
        <v>#VALUE!</v>
      </c>
      <c r="M399" s="36"/>
      <c r="N399" s="36"/>
      <c r="O399" s="36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</row>
    <row r="400" spans="1:40" ht="15.75" thickBot="1" x14ac:dyDescent="0.3">
      <c r="A400" t="s">
        <v>389</v>
      </c>
      <c r="B400" s="44" t="s">
        <v>394</v>
      </c>
      <c r="C400" s="44" t="s">
        <v>1039</v>
      </c>
      <c r="D400" s="44" t="s">
        <v>395</v>
      </c>
      <c r="E400" s="68" t="s">
        <v>15</v>
      </c>
      <c r="F400" s="68" t="s">
        <v>19</v>
      </c>
      <c r="G400" s="68"/>
      <c r="H400" s="68" t="s">
        <v>770</v>
      </c>
      <c r="I400" s="68"/>
      <c r="J400" s="63"/>
      <c r="K400" s="63"/>
      <c r="L400" s="24" t="e">
        <f t="shared" si="9"/>
        <v>#DIV/0!</v>
      </c>
      <c r="M400" s="36"/>
      <c r="N400" s="36"/>
      <c r="O400" s="36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</row>
    <row r="401" spans="1:40" ht="15.75" thickBot="1" x14ac:dyDescent="0.3">
      <c r="A401" t="s">
        <v>389</v>
      </c>
      <c r="B401" s="35" t="s">
        <v>397</v>
      </c>
      <c r="C401" s="35" t="s">
        <v>1039</v>
      </c>
      <c r="D401" s="35" t="s">
        <v>398</v>
      </c>
      <c r="E401" s="72" t="s">
        <v>71</v>
      </c>
      <c r="F401" s="72" t="s">
        <v>27</v>
      </c>
      <c r="G401" s="72"/>
      <c r="H401" s="72" t="s">
        <v>774</v>
      </c>
      <c r="I401" s="72" t="s">
        <v>2275</v>
      </c>
      <c r="J401" s="73" t="s">
        <v>1902</v>
      </c>
      <c r="K401" s="73" t="s">
        <v>1902</v>
      </c>
      <c r="L401" s="24" t="e">
        <f t="shared" si="9"/>
        <v>#VALUE!</v>
      </c>
      <c r="M401" s="36"/>
      <c r="N401" s="36"/>
      <c r="O401" s="36"/>
      <c r="P401" s="41"/>
      <c r="Q401" s="41"/>
      <c r="R401" s="41"/>
      <c r="S401" s="41"/>
      <c r="T401" s="41"/>
      <c r="U401" s="41"/>
      <c r="V401" s="41"/>
      <c r="W401" s="41"/>
      <c r="X401" s="36" t="s">
        <v>2188</v>
      </c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</row>
    <row r="402" spans="1:40" ht="15.75" thickBot="1" x14ac:dyDescent="0.3">
      <c r="A402" t="s">
        <v>389</v>
      </c>
      <c r="B402" s="35" t="s">
        <v>399</v>
      </c>
      <c r="C402" s="35" t="s">
        <v>1039</v>
      </c>
      <c r="D402" s="35" t="s">
        <v>398</v>
      </c>
      <c r="E402" s="72" t="s">
        <v>71</v>
      </c>
      <c r="F402" s="72" t="s">
        <v>27</v>
      </c>
      <c r="G402" s="72"/>
      <c r="H402" s="72" t="s">
        <v>775</v>
      </c>
      <c r="I402" s="72" t="s">
        <v>2275</v>
      </c>
      <c r="J402" s="73" t="s">
        <v>1903</v>
      </c>
      <c r="K402" s="73" t="s">
        <v>1903</v>
      </c>
      <c r="L402" s="24" t="e">
        <f t="shared" si="9"/>
        <v>#VALUE!</v>
      </c>
      <c r="M402" s="36"/>
      <c r="N402" s="36"/>
      <c r="O402" s="36"/>
      <c r="P402" s="41"/>
      <c r="Q402" s="41"/>
      <c r="R402" s="41"/>
      <c r="S402" s="41"/>
      <c r="T402" s="41"/>
      <c r="U402" s="41"/>
      <c r="V402" s="41"/>
      <c r="W402" s="41"/>
      <c r="X402" s="41" t="s">
        <v>2188</v>
      </c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</row>
    <row r="403" spans="1:40" ht="15.75" thickBot="1" x14ac:dyDescent="0.3">
      <c r="A403" t="s">
        <v>183</v>
      </c>
      <c r="B403" t="s">
        <v>400</v>
      </c>
      <c r="C403" t="s">
        <v>1039</v>
      </c>
      <c r="D403" t="s">
        <v>401</v>
      </c>
      <c r="E403" s="23" t="s">
        <v>71</v>
      </c>
      <c r="F403" s="23" t="s">
        <v>27</v>
      </c>
      <c r="G403" s="23"/>
      <c r="H403" s="23" t="s">
        <v>776</v>
      </c>
      <c r="I403" s="23" t="s">
        <v>2275</v>
      </c>
      <c r="J403" s="63" t="s">
        <v>1904</v>
      </c>
      <c r="K403" s="63" t="s">
        <v>1904</v>
      </c>
      <c r="L403" s="24" t="e">
        <f t="shared" si="9"/>
        <v>#VALUE!</v>
      </c>
      <c r="M403" s="36"/>
      <c r="N403" s="36"/>
      <c r="O403" s="36"/>
      <c r="P403" s="36"/>
      <c r="Q403" s="36"/>
      <c r="R403" s="36"/>
      <c r="S403" s="36"/>
      <c r="T403" s="36"/>
      <c r="U403" s="36" t="s">
        <v>2188</v>
      </c>
      <c r="V403" s="36" t="s">
        <v>2188</v>
      </c>
      <c r="W403" s="36" t="s">
        <v>2188</v>
      </c>
      <c r="X403" s="36" t="s">
        <v>2188</v>
      </c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36"/>
    </row>
    <row r="404" spans="1:40" s="39" customFormat="1" ht="15.75" thickBot="1" x14ac:dyDescent="0.3">
      <c r="A404" s="39" t="s">
        <v>183</v>
      </c>
      <c r="B404" t="s">
        <v>402</v>
      </c>
      <c r="C404" t="s">
        <v>1039</v>
      </c>
      <c r="D404" t="s">
        <v>401</v>
      </c>
      <c r="E404" s="23" t="s">
        <v>71</v>
      </c>
      <c r="F404" s="23" t="s">
        <v>27</v>
      </c>
      <c r="G404" s="23"/>
      <c r="H404" s="23" t="s">
        <v>777</v>
      </c>
      <c r="I404" s="23" t="s">
        <v>2275</v>
      </c>
      <c r="J404" s="63" t="s">
        <v>1905</v>
      </c>
      <c r="K404" s="63" t="s">
        <v>1905</v>
      </c>
      <c r="L404" s="62" t="e">
        <f t="shared" si="9"/>
        <v>#VALUE!</v>
      </c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  <c r="AL404" s="36"/>
      <c r="AM404" s="36"/>
      <c r="AN404" s="36"/>
    </row>
    <row r="405" spans="1:40" s="35" customFormat="1" ht="15.75" thickBot="1" x14ac:dyDescent="0.3">
      <c r="A405" s="35" t="s">
        <v>183</v>
      </c>
      <c r="B405" t="s">
        <v>403</v>
      </c>
      <c r="C405" t="s">
        <v>1039</v>
      </c>
      <c r="D405" t="s">
        <v>404</v>
      </c>
      <c r="E405" s="23" t="s">
        <v>71</v>
      </c>
      <c r="F405" s="23" t="s">
        <v>27</v>
      </c>
      <c r="G405" s="23"/>
      <c r="H405" s="23" t="s">
        <v>778</v>
      </c>
      <c r="I405" s="23" t="s">
        <v>2275</v>
      </c>
      <c r="J405" s="63" t="s">
        <v>1906</v>
      </c>
      <c r="K405" s="63" t="s">
        <v>1906</v>
      </c>
      <c r="L405" s="74" t="e">
        <f t="shared" si="9"/>
        <v>#VALUE!</v>
      </c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spans="1:40" ht="15.75" thickBot="1" x14ac:dyDescent="0.3">
      <c r="A406" t="s">
        <v>183</v>
      </c>
      <c r="B406" t="s">
        <v>405</v>
      </c>
      <c r="C406" t="s">
        <v>1039</v>
      </c>
      <c r="D406" t="s">
        <v>404</v>
      </c>
      <c r="E406" s="23" t="s">
        <v>71</v>
      </c>
      <c r="F406" s="23" t="s">
        <v>27</v>
      </c>
      <c r="G406" s="23"/>
      <c r="H406" s="23" t="s">
        <v>779</v>
      </c>
      <c r="I406" s="23" t="s">
        <v>2275</v>
      </c>
      <c r="J406" s="63" t="s">
        <v>1907</v>
      </c>
      <c r="K406" s="63" t="s">
        <v>1907</v>
      </c>
      <c r="L406" s="24" t="e">
        <f t="shared" si="9"/>
        <v>#VALUE!</v>
      </c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36"/>
    </row>
    <row r="407" spans="1:40" s="39" customFormat="1" ht="15.75" thickBot="1" x14ac:dyDescent="0.3">
      <c r="A407" s="39" t="s">
        <v>183</v>
      </c>
      <c r="B407" s="35" t="s">
        <v>406</v>
      </c>
      <c r="C407" s="35" t="s">
        <v>1040</v>
      </c>
      <c r="D407" s="35" t="s">
        <v>407</v>
      </c>
      <c r="E407" s="72" t="s">
        <v>15</v>
      </c>
      <c r="F407" s="72" t="s">
        <v>19</v>
      </c>
      <c r="G407" s="72"/>
      <c r="H407" s="72" t="s">
        <v>781</v>
      </c>
      <c r="I407" s="72"/>
      <c r="J407" s="73"/>
      <c r="K407" s="73"/>
      <c r="L407" s="42" t="e">
        <f t="shared" si="9"/>
        <v>#DIV/0!</v>
      </c>
      <c r="M407" s="43" t="s">
        <v>2188</v>
      </c>
      <c r="N407" s="43" t="s">
        <v>2188</v>
      </c>
      <c r="O407" s="43" t="s">
        <v>2188</v>
      </c>
      <c r="P407" s="43" t="s">
        <v>2188</v>
      </c>
      <c r="Q407" s="43" t="s">
        <v>2188</v>
      </c>
      <c r="R407" s="43" t="s">
        <v>2188</v>
      </c>
      <c r="S407" s="43"/>
      <c r="T407" s="43"/>
      <c r="U407" s="43"/>
      <c r="V407" s="43" t="s">
        <v>2188</v>
      </c>
      <c r="W407" s="43" t="s">
        <v>2188</v>
      </c>
      <c r="X407" s="43" t="s">
        <v>2188</v>
      </c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  <c r="AM407" s="43"/>
      <c r="AN407" s="43"/>
    </row>
    <row r="408" spans="1:40" ht="15.75" thickBot="1" x14ac:dyDescent="0.3">
      <c r="A408" t="s">
        <v>183</v>
      </c>
      <c r="B408" s="39" t="s">
        <v>408</v>
      </c>
      <c r="C408" s="39" t="s">
        <v>1040</v>
      </c>
      <c r="D408" s="39" t="s">
        <v>409</v>
      </c>
      <c r="E408" s="67" t="s">
        <v>15</v>
      </c>
      <c r="F408" s="67" t="s">
        <v>1267</v>
      </c>
      <c r="G408" s="67"/>
      <c r="H408" s="67" t="s">
        <v>1385</v>
      </c>
      <c r="I408" s="67"/>
      <c r="J408" s="63" t="s">
        <v>1914</v>
      </c>
      <c r="K408" s="63" t="s">
        <v>1914</v>
      </c>
      <c r="L408" s="24" t="e">
        <f t="shared" si="9"/>
        <v>#VALUE!</v>
      </c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36"/>
    </row>
    <row r="409" spans="1:40" ht="15.75" thickBot="1" x14ac:dyDescent="0.3">
      <c r="A409" t="s">
        <v>183</v>
      </c>
      <c r="B409" t="s">
        <v>992</v>
      </c>
      <c r="C409" t="s">
        <v>1040</v>
      </c>
      <c r="D409" t="s">
        <v>993</v>
      </c>
      <c r="E409" s="23" t="s">
        <v>71</v>
      </c>
      <c r="F409" s="23" t="s">
        <v>19</v>
      </c>
      <c r="G409" s="23"/>
      <c r="H409" s="23" t="s">
        <v>1248</v>
      </c>
      <c r="I409" s="23"/>
      <c r="J409" s="63" t="s">
        <v>2343</v>
      </c>
      <c r="K409" s="63" t="s">
        <v>2343</v>
      </c>
      <c r="L409" s="24" t="e">
        <f t="shared" si="9"/>
        <v>#VALUE!</v>
      </c>
      <c r="M409" s="36" t="s">
        <v>2188</v>
      </c>
      <c r="N409" s="36" t="s">
        <v>2188</v>
      </c>
      <c r="O409" s="36" t="s">
        <v>2188</v>
      </c>
      <c r="P409" s="36" t="s">
        <v>2188</v>
      </c>
      <c r="Q409" s="36" t="s">
        <v>2188</v>
      </c>
      <c r="R409" s="36" t="s">
        <v>2188</v>
      </c>
      <c r="S409" s="36"/>
      <c r="T409" s="36"/>
      <c r="U409" s="36" t="s">
        <v>2188</v>
      </c>
      <c r="V409" s="36" t="s">
        <v>2188</v>
      </c>
      <c r="W409" s="36" t="s">
        <v>2188</v>
      </c>
      <c r="X409" s="36" t="s">
        <v>2188</v>
      </c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36"/>
    </row>
    <row r="410" spans="1:40" ht="15.75" thickBot="1" x14ac:dyDescent="0.3">
      <c r="A410" t="s">
        <v>183</v>
      </c>
      <c r="B410" t="s">
        <v>994</v>
      </c>
      <c r="C410" t="s">
        <v>1040</v>
      </c>
      <c r="D410" t="s">
        <v>993</v>
      </c>
      <c r="E410" s="23" t="s">
        <v>71</v>
      </c>
      <c r="F410" s="23" t="s">
        <v>19</v>
      </c>
      <c r="G410" s="23"/>
      <c r="H410" s="23" t="s">
        <v>1353</v>
      </c>
      <c r="I410" s="23"/>
      <c r="J410" s="63" t="s">
        <v>2344</v>
      </c>
      <c r="K410" s="63" t="s">
        <v>2344</v>
      </c>
      <c r="L410" s="24" t="e">
        <f t="shared" si="9"/>
        <v>#VALUE!</v>
      </c>
      <c r="M410" s="36" t="s">
        <v>2188</v>
      </c>
      <c r="N410" s="36" t="s">
        <v>2188</v>
      </c>
      <c r="O410" s="36" t="s">
        <v>2188</v>
      </c>
      <c r="P410" s="36" t="s">
        <v>2188</v>
      </c>
      <c r="Q410" s="36" t="s">
        <v>2188</v>
      </c>
      <c r="R410" s="36" t="s">
        <v>2188</v>
      </c>
      <c r="S410" s="36"/>
      <c r="T410" s="36"/>
      <c r="U410" s="36" t="s">
        <v>2188</v>
      </c>
      <c r="V410" s="36" t="s">
        <v>2188</v>
      </c>
      <c r="W410" s="36" t="s">
        <v>2188</v>
      </c>
      <c r="X410" s="36" t="s">
        <v>2188</v>
      </c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36"/>
    </row>
    <row r="411" spans="1:40" s="39" customFormat="1" ht="15.75" thickBot="1" x14ac:dyDescent="0.3">
      <c r="A411" s="39" t="s">
        <v>183</v>
      </c>
      <c r="B411" s="39" t="s">
        <v>410</v>
      </c>
      <c r="C411" s="39" t="s">
        <v>1040</v>
      </c>
      <c r="D411" s="39" t="s">
        <v>411</v>
      </c>
      <c r="E411" s="67" t="s">
        <v>18</v>
      </c>
      <c r="F411" s="23" t="s">
        <v>1033</v>
      </c>
      <c r="G411" s="67"/>
      <c r="H411" s="67" t="s">
        <v>1386</v>
      </c>
      <c r="I411" s="67"/>
      <c r="J411" s="63" t="s">
        <v>1915</v>
      </c>
      <c r="K411" s="63" t="s">
        <v>1915</v>
      </c>
      <c r="L411" s="62" t="e">
        <f t="shared" si="9"/>
        <v>#VALUE!</v>
      </c>
      <c r="M411" s="36"/>
      <c r="N411" s="36"/>
      <c r="O411" s="36"/>
      <c r="P411" s="36"/>
      <c r="Q411" s="36"/>
      <c r="R411" s="36"/>
      <c r="S411" s="36"/>
      <c r="T411" s="36"/>
      <c r="U411" s="36" t="s">
        <v>2188</v>
      </c>
      <c r="V411" s="36" t="s">
        <v>2188</v>
      </c>
      <c r="W411" s="36" t="s">
        <v>2188</v>
      </c>
      <c r="X411" s="36" t="s">
        <v>2188</v>
      </c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36"/>
    </row>
    <row r="412" spans="1:40" s="39" customFormat="1" ht="17.25" customHeight="1" thickBot="1" x14ac:dyDescent="0.3">
      <c r="A412" s="39" t="s">
        <v>183</v>
      </c>
      <c r="B412" t="s">
        <v>412</v>
      </c>
      <c r="C412" t="s">
        <v>1040</v>
      </c>
      <c r="D412" t="s">
        <v>413</v>
      </c>
      <c r="E412" s="23" t="s">
        <v>18</v>
      </c>
      <c r="F412" s="23" t="s">
        <v>19</v>
      </c>
      <c r="G412" s="23"/>
      <c r="H412" s="23" t="s">
        <v>780</v>
      </c>
      <c r="I412" s="23"/>
      <c r="J412" s="63" t="s">
        <v>1819</v>
      </c>
      <c r="K412" s="63" t="s">
        <v>1819</v>
      </c>
      <c r="L412" s="62" t="e">
        <f t="shared" si="9"/>
        <v>#VALUE!</v>
      </c>
      <c r="M412" s="36"/>
      <c r="N412" s="36"/>
      <c r="O412" s="36"/>
      <c r="P412" s="36"/>
      <c r="Q412" s="36"/>
      <c r="R412" s="36"/>
      <c r="S412" s="36"/>
      <c r="T412" s="36"/>
      <c r="U412" s="36" t="s">
        <v>2188</v>
      </c>
      <c r="V412" s="36" t="s">
        <v>2188</v>
      </c>
      <c r="W412" s="36" t="s">
        <v>2188</v>
      </c>
      <c r="X412" s="36" t="s">
        <v>2188</v>
      </c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  <c r="AL412" s="36"/>
      <c r="AM412" s="36"/>
      <c r="AN412" s="36"/>
    </row>
    <row r="413" spans="1:40" s="39" customFormat="1" ht="15.75" thickBot="1" x14ac:dyDescent="0.3">
      <c r="A413" s="39" t="s">
        <v>183</v>
      </c>
      <c r="B413" t="s">
        <v>414</v>
      </c>
      <c r="C413" t="s">
        <v>1040</v>
      </c>
      <c r="D413" t="s">
        <v>415</v>
      </c>
      <c r="E413" s="23" t="s">
        <v>71</v>
      </c>
      <c r="F413" s="23" t="s">
        <v>2295</v>
      </c>
      <c r="G413" s="23"/>
      <c r="H413" s="23" t="s">
        <v>783</v>
      </c>
      <c r="I413" s="23"/>
      <c r="J413" s="63" t="s">
        <v>1916</v>
      </c>
      <c r="K413" s="63" t="s">
        <v>1916</v>
      </c>
      <c r="L413" s="62" t="e">
        <f t="shared" si="9"/>
        <v>#VALUE!</v>
      </c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36"/>
    </row>
    <row r="414" spans="1:40" s="39" customFormat="1" ht="15.75" thickBot="1" x14ac:dyDescent="0.3">
      <c r="A414" s="39" t="s">
        <v>183</v>
      </c>
      <c r="B414" t="s">
        <v>416</v>
      </c>
      <c r="C414" t="s">
        <v>1040</v>
      </c>
      <c r="D414" t="s">
        <v>415</v>
      </c>
      <c r="E414" s="23" t="s">
        <v>71</v>
      </c>
      <c r="F414" s="23" t="s">
        <v>2295</v>
      </c>
      <c r="G414" s="23"/>
      <c r="H414" s="23" t="s">
        <v>784</v>
      </c>
      <c r="I414" s="23"/>
      <c r="J414" s="63" t="s">
        <v>1917</v>
      </c>
      <c r="K414" s="63" t="s">
        <v>1917</v>
      </c>
      <c r="L414" s="62" t="e">
        <f t="shared" si="9"/>
        <v>#VALUE!</v>
      </c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36"/>
    </row>
    <row r="415" spans="1:40" s="39" customFormat="1" ht="15.75" thickBot="1" x14ac:dyDescent="0.3">
      <c r="A415" s="39" t="s">
        <v>183</v>
      </c>
      <c r="B415" s="39" t="s">
        <v>417</v>
      </c>
      <c r="C415" s="39" t="s">
        <v>1040</v>
      </c>
      <c r="D415" s="39" t="s">
        <v>418</v>
      </c>
      <c r="E415" s="67" t="s">
        <v>71</v>
      </c>
      <c r="F415" s="67" t="s">
        <v>1267</v>
      </c>
      <c r="G415" s="67"/>
      <c r="H415" s="67" t="s">
        <v>785</v>
      </c>
      <c r="I415" s="67"/>
      <c r="J415" s="63" t="s">
        <v>1918</v>
      </c>
      <c r="K415" s="63" t="s">
        <v>1918</v>
      </c>
      <c r="L415" s="62" t="e">
        <f t="shared" si="9"/>
        <v>#VALUE!</v>
      </c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36"/>
    </row>
    <row r="416" spans="1:40" s="39" customFormat="1" ht="15.75" thickBot="1" x14ac:dyDescent="0.3">
      <c r="A416" s="39" t="s">
        <v>183</v>
      </c>
      <c r="B416" s="39" t="s">
        <v>419</v>
      </c>
      <c r="C416" s="39" t="s">
        <v>1040</v>
      </c>
      <c r="D416" s="39" t="s">
        <v>418</v>
      </c>
      <c r="E416" s="67" t="s">
        <v>71</v>
      </c>
      <c r="F416" s="67" t="s">
        <v>1267</v>
      </c>
      <c r="G416" s="67"/>
      <c r="H416" s="67" t="s">
        <v>786</v>
      </c>
      <c r="I416" s="67"/>
      <c r="J416" s="63" t="s">
        <v>1919</v>
      </c>
      <c r="K416" s="63" t="s">
        <v>1919</v>
      </c>
      <c r="L416" s="62" t="e">
        <f t="shared" si="9"/>
        <v>#VALUE!</v>
      </c>
      <c r="M416" s="36"/>
      <c r="N416" s="36"/>
      <c r="O416" s="36"/>
      <c r="P416" s="36" t="s">
        <v>2188</v>
      </c>
      <c r="Q416" s="36" t="s">
        <v>2188</v>
      </c>
      <c r="R416" s="36" t="s">
        <v>2188</v>
      </c>
      <c r="S416" s="36"/>
      <c r="T416" s="36"/>
      <c r="U416" s="36" t="s">
        <v>2188</v>
      </c>
      <c r="V416" s="36"/>
      <c r="W416" s="36" t="s">
        <v>2188</v>
      </c>
      <c r="X416" s="36" t="s">
        <v>2188</v>
      </c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36"/>
    </row>
    <row r="417" spans="1:40" s="44" customFormat="1" ht="15.75" thickBot="1" x14ac:dyDescent="0.3">
      <c r="A417" s="39" t="s">
        <v>2175</v>
      </c>
      <c r="B417" s="39" t="s">
        <v>1480</v>
      </c>
      <c r="C417" s="39" t="s">
        <v>1040</v>
      </c>
      <c r="D417" s="39" t="s">
        <v>1481</v>
      </c>
      <c r="E417" s="67" t="s">
        <v>71</v>
      </c>
      <c r="F417" s="67" t="s">
        <v>1267</v>
      </c>
      <c r="G417" s="67"/>
      <c r="H417" s="67" t="s">
        <v>2260</v>
      </c>
      <c r="I417" s="67"/>
      <c r="J417" s="63" t="s">
        <v>2345</v>
      </c>
      <c r="K417" s="63" t="s">
        <v>2345</v>
      </c>
      <c r="L417" s="24" t="e">
        <f t="shared" si="9"/>
        <v>#VALUE!</v>
      </c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45"/>
      <c r="AF417" s="45"/>
      <c r="AG417" s="36"/>
      <c r="AH417" s="45"/>
      <c r="AI417" s="45"/>
      <c r="AJ417" s="45"/>
      <c r="AK417" s="45"/>
      <c r="AL417" s="45"/>
      <c r="AM417" s="45"/>
      <c r="AN417" s="45"/>
    </row>
    <row r="418" spans="1:40" s="39" customFormat="1" ht="15.75" thickBot="1" x14ac:dyDescent="0.3">
      <c r="A418" s="39" t="s">
        <v>2175</v>
      </c>
      <c r="B418" s="39" t="s">
        <v>1482</v>
      </c>
      <c r="C418" s="39" t="s">
        <v>1040</v>
      </c>
      <c r="D418" s="39" t="s">
        <v>1481</v>
      </c>
      <c r="E418" s="67" t="s">
        <v>71</v>
      </c>
      <c r="F418" s="67" t="s">
        <v>1267</v>
      </c>
      <c r="G418" s="67"/>
      <c r="H418" s="67" t="s">
        <v>2261</v>
      </c>
      <c r="I418" s="67"/>
      <c r="J418" s="63" t="s">
        <v>2346</v>
      </c>
      <c r="K418" s="63" t="s">
        <v>2346</v>
      </c>
      <c r="L418" s="62" t="e">
        <f t="shared" si="9"/>
        <v>#VALUE!</v>
      </c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  <c r="AL418" s="36"/>
      <c r="AM418" s="36"/>
      <c r="AN418" s="36"/>
    </row>
    <row r="419" spans="1:40" s="39" customFormat="1" ht="15.75" thickBot="1" x14ac:dyDescent="0.3">
      <c r="A419" s="39" t="s">
        <v>2175</v>
      </c>
      <c r="B419" s="39" t="s">
        <v>1559</v>
      </c>
      <c r="C419" s="39" t="s">
        <v>1040</v>
      </c>
      <c r="D419" s="39" t="s">
        <v>1560</v>
      </c>
      <c r="E419" s="67" t="s">
        <v>71</v>
      </c>
      <c r="F419" s="67" t="s">
        <v>1267</v>
      </c>
      <c r="G419" s="67"/>
      <c r="H419" s="67" t="s">
        <v>1561</v>
      </c>
      <c r="I419" s="67"/>
      <c r="J419" s="63" t="s">
        <v>2070</v>
      </c>
      <c r="K419" s="63" t="s">
        <v>2070</v>
      </c>
      <c r="L419" s="62" t="e">
        <f t="shared" si="9"/>
        <v>#VALUE!</v>
      </c>
      <c r="M419" s="36"/>
      <c r="N419" s="36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</row>
    <row r="420" spans="1:40" s="39" customFormat="1" ht="15.75" thickBot="1" x14ac:dyDescent="0.3">
      <c r="A420" s="39" t="s">
        <v>2175</v>
      </c>
      <c r="B420" s="39" t="s">
        <v>2067</v>
      </c>
      <c r="C420" s="39" t="s">
        <v>1040</v>
      </c>
      <c r="D420" s="39" t="s">
        <v>2068</v>
      </c>
      <c r="E420" s="68" t="s">
        <v>18</v>
      </c>
      <c r="F420" s="67" t="s">
        <v>1267</v>
      </c>
      <c r="G420" s="67"/>
      <c r="H420" s="67" t="s">
        <v>2262</v>
      </c>
      <c r="I420" s="67"/>
      <c r="J420" s="63" t="s">
        <v>2069</v>
      </c>
      <c r="K420" s="63" t="s">
        <v>2069</v>
      </c>
      <c r="L420" s="62" t="e">
        <f t="shared" si="9"/>
        <v>#VALUE!</v>
      </c>
      <c r="M420" s="36"/>
      <c r="N420" s="36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</row>
    <row r="421" spans="1:40" s="39" customFormat="1" ht="15.75" thickBot="1" x14ac:dyDescent="0.3">
      <c r="A421" s="39" t="s">
        <v>425</v>
      </c>
      <c r="B421" s="39" t="s">
        <v>421</v>
      </c>
      <c r="C421" s="44" t="s">
        <v>1040</v>
      </c>
      <c r="D421" s="39" t="s">
        <v>422</v>
      </c>
      <c r="E421" s="68" t="s">
        <v>18</v>
      </c>
      <c r="F421" s="67" t="s">
        <v>1267</v>
      </c>
      <c r="G421" s="67"/>
      <c r="H421" s="67" t="s">
        <v>2116</v>
      </c>
      <c r="I421" s="67"/>
      <c r="J421" s="63" t="s">
        <v>2117</v>
      </c>
      <c r="K421" s="63" t="s">
        <v>2117</v>
      </c>
      <c r="L421" s="62" t="e">
        <f t="shared" si="9"/>
        <v>#VALUE!</v>
      </c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  <c r="AL421" s="36"/>
      <c r="AM421" s="36"/>
      <c r="AN421" s="36"/>
    </row>
    <row r="422" spans="1:40" s="39" customFormat="1" ht="15.75" thickBot="1" x14ac:dyDescent="0.3">
      <c r="A422" s="39" t="s">
        <v>425</v>
      </c>
      <c r="B422" s="39" t="s">
        <v>1308</v>
      </c>
      <c r="C422" s="39" t="s">
        <v>1040</v>
      </c>
      <c r="D422" s="39" t="s">
        <v>1309</v>
      </c>
      <c r="E422" s="68" t="s">
        <v>18</v>
      </c>
      <c r="F422" s="67" t="s">
        <v>1267</v>
      </c>
      <c r="G422" s="67"/>
      <c r="H422" s="67" t="s">
        <v>1369</v>
      </c>
      <c r="I422" s="67"/>
      <c r="J422" s="63" t="s">
        <v>1920</v>
      </c>
      <c r="K422" s="63" t="s">
        <v>1920</v>
      </c>
      <c r="L422" s="62" t="e">
        <f t="shared" si="9"/>
        <v>#VALUE!</v>
      </c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  <c r="AL422" s="36"/>
      <c r="AM422" s="36"/>
      <c r="AN422" s="36"/>
    </row>
    <row r="423" spans="1:40" s="44" customFormat="1" ht="15.75" thickBot="1" x14ac:dyDescent="0.3">
      <c r="A423" s="44" t="s">
        <v>425</v>
      </c>
      <c r="B423" s="39" t="s">
        <v>1357</v>
      </c>
      <c r="C423" s="39" t="s">
        <v>1040</v>
      </c>
      <c r="D423" s="39" t="s">
        <v>1358</v>
      </c>
      <c r="E423" s="68" t="s">
        <v>18</v>
      </c>
      <c r="F423" s="67" t="s">
        <v>1267</v>
      </c>
      <c r="G423" s="67"/>
      <c r="H423" s="67" t="s">
        <v>1359</v>
      </c>
      <c r="I423" s="67"/>
      <c r="J423" s="63" t="s">
        <v>1921</v>
      </c>
      <c r="K423" s="63" t="s">
        <v>1921</v>
      </c>
      <c r="L423" s="24" t="e">
        <f t="shared" si="9"/>
        <v>#VALUE!</v>
      </c>
      <c r="M423" s="36" t="s">
        <v>2188</v>
      </c>
      <c r="N423" s="36" t="s">
        <v>2188</v>
      </c>
      <c r="O423" s="36" t="s">
        <v>2188</v>
      </c>
      <c r="P423" s="36" t="s">
        <v>2188</v>
      </c>
      <c r="Q423" s="36" t="s">
        <v>2188</v>
      </c>
      <c r="R423" s="36" t="s">
        <v>2188</v>
      </c>
      <c r="S423" s="36"/>
      <c r="T423" s="36"/>
      <c r="U423" s="36" t="s">
        <v>2188</v>
      </c>
      <c r="V423" s="36" t="s">
        <v>2188</v>
      </c>
      <c r="W423" s="36" t="s">
        <v>2188</v>
      </c>
      <c r="X423" s="36" t="s">
        <v>2188</v>
      </c>
      <c r="Y423" s="36"/>
      <c r="Z423" s="36"/>
      <c r="AA423" s="36"/>
      <c r="AB423" s="36"/>
      <c r="AC423" s="36"/>
      <c r="AD423" s="36"/>
      <c r="AE423" s="45"/>
      <c r="AF423" s="45"/>
      <c r="AG423" s="36"/>
      <c r="AH423" s="45"/>
      <c r="AI423" s="45"/>
      <c r="AJ423" s="45"/>
      <c r="AK423" s="45"/>
      <c r="AL423" s="45"/>
      <c r="AM423" s="45"/>
      <c r="AN423" s="45"/>
    </row>
    <row r="424" spans="1:40" s="39" customFormat="1" ht="15.75" thickBot="1" x14ac:dyDescent="0.3">
      <c r="A424" s="39" t="s">
        <v>425</v>
      </c>
      <c r="B424" s="39" t="s">
        <v>2171</v>
      </c>
      <c r="C424" s="39" t="s">
        <v>1040</v>
      </c>
      <c r="D424" s="39" t="s">
        <v>2172</v>
      </c>
      <c r="E424" s="68" t="s">
        <v>18</v>
      </c>
      <c r="F424" s="67" t="s">
        <v>1267</v>
      </c>
      <c r="G424" s="67"/>
      <c r="H424" s="67" t="s">
        <v>2173</v>
      </c>
      <c r="I424" s="67"/>
      <c r="J424" s="63" t="s">
        <v>2174</v>
      </c>
      <c r="K424" s="63" t="s">
        <v>2174</v>
      </c>
      <c r="L424" s="62" t="e">
        <f t="shared" si="9"/>
        <v>#VALUE!</v>
      </c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  <c r="AK424" s="36"/>
      <c r="AL424" s="36"/>
      <c r="AM424" s="36"/>
      <c r="AN424" s="36"/>
    </row>
    <row r="425" spans="1:40" ht="15.75" thickBot="1" x14ac:dyDescent="0.3">
      <c r="A425" t="s">
        <v>425</v>
      </c>
      <c r="B425" s="44" t="s">
        <v>423</v>
      </c>
      <c r="C425" s="44" t="s">
        <v>1040</v>
      </c>
      <c r="D425" s="44" t="s">
        <v>424</v>
      </c>
      <c r="E425" s="68" t="s">
        <v>18</v>
      </c>
      <c r="F425" s="68" t="s">
        <v>19</v>
      </c>
      <c r="G425" s="68"/>
      <c r="H425" s="68" t="s">
        <v>787</v>
      </c>
      <c r="I425" s="68"/>
      <c r="J425" s="63"/>
      <c r="K425" s="63"/>
      <c r="L425" s="24" t="e">
        <f t="shared" si="9"/>
        <v>#DIV/0!</v>
      </c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  <c r="AL425" s="36"/>
      <c r="AM425" s="36"/>
      <c r="AN425" s="36"/>
    </row>
    <row r="426" spans="1:40" ht="15.75" thickBot="1" x14ac:dyDescent="0.3">
      <c r="A426" t="s">
        <v>425</v>
      </c>
      <c r="B426" s="39" t="s">
        <v>426</v>
      </c>
      <c r="C426" s="39" t="s">
        <v>1040</v>
      </c>
      <c r="D426" s="39" t="s">
        <v>427</v>
      </c>
      <c r="E426" s="67" t="s">
        <v>45</v>
      </c>
      <c r="F426" s="67" t="s">
        <v>1267</v>
      </c>
      <c r="G426" s="67"/>
      <c r="H426" s="67" t="s">
        <v>1329</v>
      </c>
      <c r="I426" s="67"/>
      <c r="J426" s="63" t="s">
        <v>1924</v>
      </c>
      <c r="K426" s="63" t="s">
        <v>1924</v>
      </c>
      <c r="L426" s="24" t="e">
        <f t="shared" si="9"/>
        <v>#VALUE!</v>
      </c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  <c r="AL426" s="36"/>
      <c r="AM426" s="36"/>
      <c r="AN426" s="36"/>
    </row>
    <row r="427" spans="1:40" s="39" customFormat="1" ht="15.75" thickBot="1" x14ac:dyDescent="0.3">
      <c r="A427" s="39" t="s">
        <v>425</v>
      </c>
      <c r="B427" t="s">
        <v>428</v>
      </c>
      <c r="C427" t="s">
        <v>1040</v>
      </c>
      <c r="D427" t="s">
        <v>429</v>
      </c>
      <c r="E427" s="23" t="s">
        <v>15</v>
      </c>
      <c r="F427" s="23" t="s">
        <v>27</v>
      </c>
      <c r="G427" s="23"/>
      <c r="H427" s="23" t="s">
        <v>789</v>
      </c>
      <c r="I427" s="23"/>
      <c r="J427" s="63" t="s">
        <v>2347</v>
      </c>
      <c r="K427" s="63" t="s">
        <v>2347</v>
      </c>
      <c r="L427" s="62" t="e">
        <f t="shared" si="9"/>
        <v>#VALUE!</v>
      </c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  <c r="AL427" s="36"/>
      <c r="AM427" s="36"/>
      <c r="AN427" s="36"/>
    </row>
    <row r="428" spans="1:40" ht="15.75" thickBot="1" x14ac:dyDescent="0.3">
      <c r="A428" t="s">
        <v>1096</v>
      </c>
      <c r="B428" s="39" t="s">
        <v>430</v>
      </c>
      <c r="C428" s="39" t="s">
        <v>1040</v>
      </c>
      <c r="D428" s="39" t="s">
        <v>431</v>
      </c>
      <c r="E428" s="67" t="s">
        <v>15</v>
      </c>
      <c r="F428" s="67" t="s">
        <v>1267</v>
      </c>
      <c r="G428" s="67"/>
      <c r="H428" s="67" t="s">
        <v>790</v>
      </c>
      <c r="I428" s="67"/>
      <c r="J428" s="63" t="s">
        <v>1926</v>
      </c>
      <c r="K428" s="63" t="s">
        <v>1926</v>
      </c>
      <c r="L428" s="24" t="e">
        <f t="shared" si="9"/>
        <v>#VALUE!</v>
      </c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  <c r="AL428" s="36"/>
      <c r="AM428" s="36"/>
      <c r="AN428" s="36"/>
    </row>
    <row r="429" spans="1:40" ht="16.899999999999999" customHeight="1" thickBot="1" x14ac:dyDescent="0.3">
      <c r="A429" t="s">
        <v>1096</v>
      </c>
      <c r="B429" t="s">
        <v>1097</v>
      </c>
      <c r="C429" t="s">
        <v>1040</v>
      </c>
      <c r="D429" t="s">
        <v>1098</v>
      </c>
      <c r="E429" s="23" t="s">
        <v>1086</v>
      </c>
      <c r="F429" s="23" t="s">
        <v>2295</v>
      </c>
      <c r="G429" s="23"/>
      <c r="H429" s="23" t="s">
        <v>1110</v>
      </c>
      <c r="I429" s="23"/>
      <c r="J429" s="63" t="s">
        <v>1927</v>
      </c>
      <c r="K429" s="63" t="s">
        <v>1927</v>
      </c>
      <c r="L429" s="24" t="e">
        <f t="shared" si="9"/>
        <v>#VALUE!</v>
      </c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  <c r="AL429" s="36"/>
      <c r="AM429" s="36"/>
      <c r="AN429" s="36"/>
    </row>
    <row r="430" spans="1:40" s="39" customFormat="1" ht="16.899999999999999" customHeight="1" thickBot="1" x14ac:dyDescent="0.3">
      <c r="A430" t="s">
        <v>1096</v>
      </c>
      <c r="B430" t="s">
        <v>1114</v>
      </c>
      <c r="C430" t="s">
        <v>1040</v>
      </c>
      <c r="D430" t="s">
        <v>1098</v>
      </c>
      <c r="E430" s="23" t="s">
        <v>1086</v>
      </c>
      <c r="F430" s="23" t="s">
        <v>2295</v>
      </c>
      <c r="G430" s="23"/>
      <c r="H430" s="23" t="s">
        <v>1111</v>
      </c>
      <c r="I430" s="23"/>
      <c r="J430" s="63" t="s">
        <v>1928</v>
      </c>
      <c r="K430" s="63" t="s">
        <v>1928</v>
      </c>
      <c r="L430" s="24" t="e">
        <f t="shared" si="9"/>
        <v>#VALUE!</v>
      </c>
      <c r="M430" s="36"/>
      <c r="N430" s="36"/>
      <c r="O430" s="36"/>
      <c r="P430" s="36"/>
      <c r="Q430" s="36"/>
      <c r="R430" s="36" t="s">
        <v>2188</v>
      </c>
      <c r="S430" s="36"/>
      <c r="T430" s="36"/>
      <c r="U430" s="36" t="s">
        <v>2188</v>
      </c>
      <c r="V430" s="36" t="s">
        <v>2188</v>
      </c>
      <c r="W430" s="36" t="s">
        <v>2188</v>
      </c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  <c r="AL430" s="36"/>
      <c r="AM430" s="36"/>
      <c r="AN430" s="36"/>
    </row>
    <row r="431" spans="1:40" s="39" customFormat="1" ht="16.899999999999999" customHeight="1" thickBot="1" x14ac:dyDescent="0.3">
      <c r="A431" t="s">
        <v>1096</v>
      </c>
      <c r="B431" s="39" t="s">
        <v>432</v>
      </c>
      <c r="C431" s="39" t="s">
        <v>1040</v>
      </c>
      <c r="D431" s="39" t="s">
        <v>433</v>
      </c>
      <c r="E431" s="67" t="s">
        <v>15</v>
      </c>
      <c r="F431" s="67" t="s">
        <v>1267</v>
      </c>
      <c r="G431" s="67"/>
      <c r="H431" s="67" t="s">
        <v>1328</v>
      </c>
      <c r="I431" s="67"/>
      <c r="J431" s="63" t="s">
        <v>1922</v>
      </c>
      <c r="K431" s="63" t="s">
        <v>1922</v>
      </c>
      <c r="L431" s="24" t="e">
        <f t="shared" si="9"/>
        <v>#VALUE!</v>
      </c>
      <c r="M431" s="36"/>
      <c r="N431" s="36"/>
      <c r="O431" s="36"/>
      <c r="P431" s="36"/>
      <c r="Q431" s="36"/>
      <c r="R431" s="36" t="s">
        <v>2188</v>
      </c>
      <c r="S431" s="36"/>
      <c r="T431" s="36"/>
      <c r="U431" s="36" t="s">
        <v>2188</v>
      </c>
      <c r="V431" s="36" t="s">
        <v>2188</v>
      </c>
      <c r="W431" s="36" t="s">
        <v>2188</v>
      </c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  <c r="AL431" s="36"/>
      <c r="AM431" s="36"/>
      <c r="AN431" s="36"/>
    </row>
    <row r="432" spans="1:40" s="39" customFormat="1" ht="16.899999999999999" customHeight="1" thickBot="1" x14ac:dyDescent="0.3">
      <c r="A432" t="s">
        <v>1096</v>
      </c>
      <c r="B432" s="39" t="s">
        <v>434</v>
      </c>
      <c r="C432" s="39" t="s">
        <v>1040</v>
      </c>
      <c r="D432" s="39" t="s">
        <v>435</v>
      </c>
      <c r="E432" s="67" t="s">
        <v>18</v>
      </c>
      <c r="F432" s="67" t="s">
        <v>1267</v>
      </c>
      <c r="G432" s="67"/>
      <c r="H432" s="67" t="s">
        <v>1378</v>
      </c>
      <c r="I432" s="67"/>
      <c r="J432" s="63" t="s">
        <v>1923</v>
      </c>
      <c r="K432" s="63" t="s">
        <v>1923</v>
      </c>
      <c r="L432" s="24" t="e">
        <f t="shared" si="9"/>
        <v>#VALUE!</v>
      </c>
      <c r="M432" s="36"/>
      <c r="N432" s="36"/>
      <c r="O432" s="36"/>
      <c r="P432" s="36"/>
      <c r="Q432" s="36"/>
      <c r="R432" s="36" t="s">
        <v>2188</v>
      </c>
      <c r="S432" s="36"/>
      <c r="T432" s="36"/>
      <c r="U432" s="36" t="s">
        <v>2188</v>
      </c>
      <c r="V432" s="36" t="s">
        <v>2188</v>
      </c>
      <c r="W432" s="36" t="s">
        <v>2188</v>
      </c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  <c r="AL432" s="36"/>
      <c r="AM432" s="36"/>
      <c r="AN432" s="36"/>
    </row>
    <row r="433" spans="1:40" ht="15.75" thickBot="1" x14ac:dyDescent="0.3">
      <c r="A433" t="s">
        <v>155</v>
      </c>
      <c r="B433" t="s">
        <v>436</v>
      </c>
      <c r="C433" t="s">
        <v>1040</v>
      </c>
      <c r="D433" t="s">
        <v>437</v>
      </c>
      <c r="E433" s="23" t="s">
        <v>15</v>
      </c>
      <c r="F433" s="23" t="s">
        <v>1033</v>
      </c>
      <c r="G433" s="23" t="s">
        <v>1223</v>
      </c>
      <c r="H433" s="23" t="s">
        <v>788</v>
      </c>
      <c r="I433" s="23"/>
      <c r="J433" s="63" t="s">
        <v>1925</v>
      </c>
      <c r="K433" s="63" t="s">
        <v>1925</v>
      </c>
      <c r="L433" s="24" t="e">
        <f t="shared" si="9"/>
        <v>#VALUE!</v>
      </c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  <c r="AL433" s="36"/>
      <c r="AM433" s="36"/>
      <c r="AN433" s="36"/>
    </row>
    <row r="434" spans="1:40" ht="15.75" thickBot="1" x14ac:dyDescent="0.3">
      <c r="A434" t="s">
        <v>155</v>
      </c>
      <c r="B434" s="39" t="s">
        <v>1272</v>
      </c>
      <c r="C434" s="39" t="s">
        <v>1040</v>
      </c>
      <c r="D434" s="39" t="s">
        <v>1273</v>
      </c>
      <c r="E434" s="67" t="s">
        <v>15</v>
      </c>
      <c r="F434" s="67" t="s">
        <v>1267</v>
      </c>
      <c r="G434" s="67"/>
      <c r="H434" s="67" t="s">
        <v>1274</v>
      </c>
      <c r="I434" s="67"/>
      <c r="J434" s="63" t="s">
        <v>1897</v>
      </c>
      <c r="K434" s="63" t="s">
        <v>1897</v>
      </c>
      <c r="L434" s="24" t="e">
        <f t="shared" si="9"/>
        <v>#VALUE!</v>
      </c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  <c r="AL434" s="36"/>
      <c r="AM434" s="36"/>
      <c r="AN434" s="36"/>
    </row>
    <row r="435" spans="1:40" ht="15.75" thickBot="1" x14ac:dyDescent="0.3">
      <c r="A435" t="s">
        <v>155</v>
      </c>
      <c r="B435" s="39" t="s">
        <v>1494</v>
      </c>
      <c r="C435" s="39" t="s">
        <v>1040</v>
      </c>
      <c r="D435" s="39" t="s">
        <v>1495</v>
      </c>
      <c r="E435" s="67" t="s">
        <v>1086</v>
      </c>
      <c r="F435" s="67" t="s">
        <v>1267</v>
      </c>
      <c r="G435" s="67"/>
      <c r="H435" s="67" t="s">
        <v>1497</v>
      </c>
      <c r="I435" s="67"/>
      <c r="J435" s="63" t="s">
        <v>1929</v>
      </c>
      <c r="K435" s="63" t="s">
        <v>1929</v>
      </c>
      <c r="L435" s="24" t="e">
        <f t="shared" si="9"/>
        <v>#VALUE!</v>
      </c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  <c r="AL435" s="36"/>
      <c r="AM435" s="36"/>
      <c r="AN435" s="36"/>
    </row>
    <row r="436" spans="1:40" ht="15.75" thickBot="1" x14ac:dyDescent="0.3">
      <c r="A436" t="s">
        <v>155</v>
      </c>
      <c r="B436" s="39" t="s">
        <v>1493</v>
      </c>
      <c r="C436" s="39" t="s">
        <v>1040</v>
      </c>
      <c r="D436" s="39" t="s">
        <v>1496</v>
      </c>
      <c r="E436" s="67" t="s">
        <v>1086</v>
      </c>
      <c r="F436" s="67" t="s">
        <v>1267</v>
      </c>
      <c r="G436" s="67"/>
      <c r="H436" s="67" t="s">
        <v>1498</v>
      </c>
      <c r="I436" s="67"/>
      <c r="J436" s="63" t="s">
        <v>1930</v>
      </c>
      <c r="K436" s="63" t="s">
        <v>1930</v>
      </c>
      <c r="L436" s="24" t="e">
        <f t="shared" si="9"/>
        <v>#VALUE!</v>
      </c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  <c r="AL436" s="36"/>
      <c r="AM436" s="36"/>
      <c r="AN436" s="36"/>
    </row>
    <row r="437" spans="1:40" ht="15.75" thickBot="1" x14ac:dyDescent="0.3">
      <c r="A437" t="s">
        <v>442</v>
      </c>
      <c r="B437" s="39" t="s">
        <v>2157</v>
      </c>
      <c r="C437" s="39" t="s">
        <v>1040</v>
      </c>
      <c r="D437" s="39" t="s">
        <v>2158</v>
      </c>
      <c r="E437" s="67" t="s">
        <v>1086</v>
      </c>
      <c r="F437" s="67" t="s">
        <v>1267</v>
      </c>
      <c r="G437" s="67"/>
      <c r="H437" s="67" t="s">
        <v>2263</v>
      </c>
      <c r="I437" s="67"/>
      <c r="J437" s="63" t="s">
        <v>2348</v>
      </c>
      <c r="K437" s="63" t="s">
        <v>2348</v>
      </c>
      <c r="L437" s="24" t="e">
        <f t="shared" si="9"/>
        <v>#VALUE!</v>
      </c>
      <c r="M437" s="36" t="s">
        <v>2188</v>
      </c>
      <c r="N437" s="36" t="s">
        <v>2188</v>
      </c>
      <c r="O437" s="36" t="s">
        <v>2188</v>
      </c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  <c r="AL437" s="36"/>
      <c r="AM437" s="36"/>
      <c r="AN437" s="36"/>
    </row>
    <row r="438" spans="1:40" ht="15.75" thickBot="1" x14ac:dyDescent="0.3">
      <c r="A438" t="s">
        <v>337</v>
      </c>
      <c r="B438" t="s">
        <v>995</v>
      </c>
      <c r="C438" t="s">
        <v>1039</v>
      </c>
      <c r="D438" t="s">
        <v>441</v>
      </c>
      <c r="E438" s="23" t="s">
        <v>71</v>
      </c>
      <c r="F438" s="23" t="s">
        <v>27</v>
      </c>
      <c r="G438" s="23"/>
      <c r="H438" s="23" t="s">
        <v>793</v>
      </c>
      <c r="I438" s="23"/>
      <c r="J438" s="63" t="s">
        <v>1933</v>
      </c>
      <c r="K438" s="63" t="s">
        <v>1933</v>
      </c>
      <c r="L438" s="24" t="e">
        <f t="shared" si="9"/>
        <v>#VALUE!</v>
      </c>
      <c r="M438" s="36" t="s">
        <v>2188</v>
      </c>
      <c r="N438" s="36" t="s">
        <v>2188</v>
      </c>
      <c r="O438" s="36" t="s">
        <v>2188</v>
      </c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  <c r="AL438" s="36"/>
      <c r="AM438" s="36"/>
      <c r="AN438" s="36"/>
    </row>
    <row r="439" spans="1:40" s="39" customFormat="1" ht="15.75" thickBot="1" x14ac:dyDescent="0.3">
      <c r="A439" s="39" t="s">
        <v>442</v>
      </c>
      <c r="B439" t="s">
        <v>996</v>
      </c>
      <c r="C439" t="s">
        <v>1039</v>
      </c>
      <c r="D439" t="s">
        <v>441</v>
      </c>
      <c r="E439" s="23" t="s">
        <v>71</v>
      </c>
      <c r="F439" s="23" t="s">
        <v>27</v>
      </c>
      <c r="G439" s="23"/>
      <c r="H439" s="23" t="s">
        <v>794</v>
      </c>
      <c r="I439" s="23"/>
      <c r="J439" s="63" t="s">
        <v>1934</v>
      </c>
      <c r="K439" s="63" t="s">
        <v>1934</v>
      </c>
      <c r="L439" s="62" t="e">
        <f t="shared" si="9"/>
        <v>#VALUE!</v>
      </c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  <c r="AL439" s="36"/>
      <c r="AM439" s="36"/>
      <c r="AN439" s="36"/>
    </row>
    <row r="440" spans="1:40" s="39" customFormat="1" ht="15.75" thickBot="1" x14ac:dyDescent="0.3">
      <c r="A440" s="39" t="s">
        <v>442</v>
      </c>
      <c r="B440" t="s">
        <v>438</v>
      </c>
      <c r="C440" t="s">
        <v>1039</v>
      </c>
      <c r="D440" t="s">
        <v>439</v>
      </c>
      <c r="E440" s="23" t="s">
        <v>71</v>
      </c>
      <c r="F440" s="23" t="s">
        <v>27</v>
      </c>
      <c r="G440" s="23"/>
      <c r="H440" s="23" t="s">
        <v>791</v>
      </c>
      <c r="I440" s="23"/>
      <c r="J440" s="63" t="s">
        <v>1931</v>
      </c>
      <c r="K440" s="63" t="s">
        <v>1931</v>
      </c>
      <c r="L440" s="62" t="e">
        <f t="shared" si="9"/>
        <v>#VALUE!</v>
      </c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  <c r="AL440" s="36"/>
      <c r="AM440" s="36"/>
      <c r="AN440" s="36"/>
    </row>
    <row r="441" spans="1:40" ht="15.75" thickBot="1" x14ac:dyDescent="0.3">
      <c r="A441" t="s">
        <v>442</v>
      </c>
      <c r="B441" t="s">
        <v>440</v>
      </c>
      <c r="C441" t="s">
        <v>1039</v>
      </c>
      <c r="D441" t="s">
        <v>439</v>
      </c>
      <c r="E441" s="23" t="s">
        <v>71</v>
      </c>
      <c r="F441" s="23" t="s">
        <v>27</v>
      </c>
      <c r="G441" s="23"/>
      <c r="H441" s="23" t="s">
        <v>792</v>
      </c>
      <c r="I441" s="23"/>
      <c r="J441" s="63" t="s">
        <v>1932</v>
      </c>
      <c r="K441" s="63" t="s">
        <v>1932</v>
      </c>
      <c r="L441" s="24" t="e">
        <f t="shared" si="9"/>
        <v>#VALUE!</v>
      </c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  <c r="AL441" s="36"/>
      <c r="AM441" s="36"/>
      <c r="AN441" s="36"/>
    </row>
    <row r="442" spans="1:40" ht="15.75" thickBot="1" x14ac:dyDescent="0.3">
      <c r="A442" t="s">
        <v>442</v>
      </c>
      <c r="B442" s="39" t="s">
        <v>997</v>
      </c>
      <c r="C442" s="39" t="s">
        <v>1040</v>
      </c>
      <c r="D442" s="39" t="s">
        <v>455</v>
      </c>
      <c r="E442" s="67" t="s">
        <v>18</v>
      </c>
      <c r="F442" s="67" t="s">
        <v>1267</v>
      </c>
      <c r="G442" s="67"/>
      <c r="H442" s="67" t="s">
        <v>1287</v>
      </c>
      <c r="I442" s="67"/>
      <c r="J442" s="63" t="s">
        <v>1938</v>
      </c>
      <c r="K442" s="63" t="s">
        <v>1938</v>
      </c>
      <c r="L442" s="24" t="e">
        <f t="shared" si="9"/>
        <v>#VALUE!</v>
      </c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  <c r="AL442" s="36"/>
      <c r="AM442" s="36"/>
      <c r="AN442" s="36"/>
    </row>
    <row r="443" spans="1:40" ht="15.75" thickBot="1" x14ac:dyDescent="0.3">
      <c r="A443" t="s">
        <v>442</v>
      </c>
      <c r="B443" t="s">
        <v>446</v>
      </c>
      <c r="C443" t="s">
        <v>1040</v>
      </c>
      <c r="D443" t="s">
        <v>447</v>
      </c>
      <c r="E443" s="23" t="s">
        <v>18</v>
      </c>
      <c r="F443" s="23" t="s">
        <v>1267</v>
      </c>
      <c r="G443" s="23"/>
      <c r="H443" s="23" t="s">
        <v>800</v>
      </c>
      <c r="I443" s="23"/>
      <c r="J443" s="63" t="s">
        <v>1941</v>
      </c>
      <c r="K443" s="63" t="s">
        <v>1941</v>
      </c>
      <c r="L443" s="24" t="e">
        <f t="shared" si="9"/>
        <v>#VALUE!</v>
      </c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  <c r="AL443" s="36"/>
      <c r="AM443" s="36"/>
      <c r="AN443" s="36"/>
    </row>
    <row r="444" spans="1:40" ht="15.75" thickBot="1" x14ac:dyDescent="0.3">
      <c r="A444" t="s">
        <v>442</v>
      </c>
      <c r="B444" s="35" t="s">
        <v>998</v>
      </c>
      <c r="C444" s="35" t="s">
        <v>1040</v>
      </c>
      <c r="D444" s="35" t="s">
        <v>456</v>
      </c>
      <c r="E444" s="72" t="s">
        <v>15</v>
      </c>
      <c r="F444" s="72" t="s">
        <v>19</v>
      </c>
      <c r="G444" s="72"/>
      <c r="H444" s="72" t="s">
        <v>795</v>
      </c>
      <c r="I444" s="72"/>
      <c r="J444" s="73"/>
      <c r="K444" s="73"/>
      <c r="L444" s="24" t="e">
        <f t="shared" si="9"/>
        <v>#DIV/0!</v>
      </c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  <c r="AL444" s="36"/>
      <c r="AM444" s="36"/>
      <c r="AN444" s="36"/>
    </row>
    <row r="445" spans="1:40" ht="15.75" thickBot="1" x14ac:dyDescent="0.3">
      <c r="A445" t="s">
        <v>442</v>
      </c>
      <c r="B445" t="s">
        <v>999</v>
      </c>
      <c r="C445" t="s">
        <v>1040</v>
      </c>
      <c r="D445" t="s">
        <v>459</v>
      </c>
      <c r="E445" s="23" t="s">
        <v>71</v>
      </c>
      <c r="F445" s="23" t="s">
        <v>2295</v>
      </c>
      <c r="G445" s="23"/>
      <c r="H445" s="23" t="s">
        <v>1367</v>
      </c>
      <c r="I445" s="23"/>
      <c r="J445" s="63" t="s">
        <v>1942</v>
      </c>
      <c r="K445" s="63" t="s">
        <v>1942</v>
      </c>
      <c r="L445" s="24" t="e">
        <f t="shared" si="9"/>
        <v>#VALUE!</v>
      </c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  <c r="AL445" s="36"/>
      <c r="AM445" s="36"/>
      <c r="AN445" s="36"/>
    </row>
    <row r="446" spans="1:40" ht="15.75" thickBot="1" x14ac:dyDescent="0.3">
      <c r="A446" t="s">
        <v>442</v>
      </c>
      <c r="B446" t="s">
        <v>1000</v>
      </c>
      <c r="C446" t="s">
        <v>1040</v>
      </c>
      <c r="D446" t="s">
        <v>459</v>
      </c>
      <c r="E446" s="23" t="s">
        <v>71</v>
      </c>
      <c r="F446" s="23" t="s">
        <v>2295</v>
      </c>
      <c r="G446" s="23"/>
      <c r="H446" s="23" t="s">
        <v>1368</v>
      </c>
      <c r="I446" s="23"/>
      <c r="J446" s="63" t="s">
        <v>1943</v>
      </c>
      <c r="K446" s="63" t="s">
        <v>1943</v>
      </c>
      <c r="L446" s="24" t="e">
        <f t="shared" si="9"/>
        <v>#VALUE!</v>
      </c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  <c r="AL446" s="36"/>
      <c r="AM446" s="36"/>
      <c r="AN446" s="36"/>
    </row>
    <row r="447" spans="1:40" ht="15.75" thickBot="1" x14ac:dyDescent="0.3">
      <c r="A447" t="s">
        <v>442</v>
      </c>
      <c r="B447" t="s">
        <v>1001</v>
      </c>
      <c r="C447" t="s">
        <v>1040</v>
      </c>
      <c r="D447" t="s">
        <v>462</v>
      </c>
      <c r="E447" s="23" t="s">
        <v>71</v>
      </c>
      <c r="F447" s="23" t="s">
        <v>2295</v>
      </c>
      <c r="G447" s="23" t="s">
        <v>2349</v>
      </c>
      <c r="H447" s="23" t="s">
        <v>805</v>
      </c>
      <c r="I447" s="23"/>
      <c r="J447" s="63" t="s">
        <v>1947</v>
      </c>
      <c r="K447" s="63" t="s">
        <v>1947</v>
      </c>
      <c r="L447" s="24" t="e">
        <f t="shared" si="9"/>
        <v>#VALUE!</v>
      </c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  <c r="AL447" s="36"/>
      <c r="AM447" s="36"/>
      <c r="AN447" s="36"/>
    </row>
    <row r="448" spans="1:40" s="35" customFormat="1" ht="15.75" thickBot="1" x14ac:dyDescent="0.3">
      <c r="A448" s="35" t="s">
        <v>442</v>
      </c>
      <c r="B448" t="s">
        <v>1002</v>
      </c>
      <c r="C448" t="s">
        <v>1040</v>
      </c>
      <c r="D448" t="s">
        <v>462</v>
      </c>
      <c r="E448" s="23" t="s">
        <v>71</v>
      </c>
      <c r="F448" s="23" t="s">
        <v>2295</v>
      </c>
      <c r="G448" s="23" t="s">
        <v>2349</v>
      </c>
      <c r="H448" s="23" t="s">
        <v>806</v>
      </c>
      <c r="I448" s="23"/>
      <c r="J448" s="63" t="s">
        <v>1948</v>
      </c>
      <c r="K448" s="63" t="s">
        <v>1948</v>
      </c>
      <c r="L448" s="74" t="e">
        <f t="shared" si="9"/>
        <v>#VALUE!</v>
      </c>
      <c r="M448" s="64" t="s">
        <v>2188</v>
      </c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spans="1:40" s="35" customFormat="1" ht="15.75" thickBot="1" x14ac:dyDescent="0.3">
      <c r="A449" s="35" t="s">
        <v>337</v>
      </c>
      <c r="B449" t="s">
        <v>451</v>
      </c>
      <c r="C449" t="s">
        <v>1040</v>
      </c>
      <c r="D449" t="s">
        <v>2350</v>
      </c>
      <c r="E449" s="23" t="s">
        <v>18</v>
      </c>
      <c r="F449" s="23" t="s">
        <v>1033</v>
      </c>
      <c r="G449" s="23"/>
      <c r="H449" s="23" t="s">
        <v>1365</v>
      </c>
      <c r="I449" s="23"/>
      <c r="J449" s="63" t="s">
        <v>1935</v>
      </c>
      <c r="K449" s="63" t="s">
        <v>1935</v>
      </c>
      <c r="L449" s="74" t="e">
        <f t="shared" si="9"/>
        <v>#VALUE!</v>
      </c>
      <c r="M449" s="64" t="s">
        <v>2188</v>
      </c>
      <c r="N449" s="64" t="s">
        <v>2188</v>
      </c>
      <c r="O449" s="64" t="s">
        <v>2188</v>
      </c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spans="1:40" ht="15.75" thickBot="1" x14ac:dyDescent="0.3">
      <c r="A450" t="s">
        <v>337</v>
      </c>
      <c r="B450" t="s">
        <v>452</v>
      </c>
      <c r="C450" t="s">
        <v>1040</v>
      </c>
      <c r="D450" t="s">
        <v>1280</v>
      </c>
      <c r="E450" s="23" t="s">
        <v>18</v>
      </c>
      <c r="F450" s="23" t="s">
        <v>2281</v>
      </c>
      <c r="G450" s="23"/>
      <c r="H450" s="23" t="s">
        <v>1366</v>
      </c>
      <c r="I450" s="23"/>
      <c r="J450" s="63" t="s">
        <v>1936</v>
      </c>
      <c r="K450" s="63" t="s">
        <v>1936</v>
      </c>
      <c r="L450" s="76" t="e">
        <f t="shared" si="9"/>
        <v>#VALUE!</v>
      </c>
      <c r="M450" s="77"/>
      <c r="N450" s="77" t="s">
        <v>2188</v>
      </c>
      <c r="O450" s="77" t="s">
        <v>2188</v>
      </c>
      <c r="P450" s="77" t="s">
        <v>2188</v>
      </c>
      <c r="Q450" s="77" t="s">
        <v>2188</v>
      </c>
      <c r="R450" s="77" t="s">
        <v>2188</v>
      </c>
      <c r="S450" s="77"/>
      <c r="T450" s="77"/>
      <c r="U450" s="77" t="s">
        <v>2188</v>
      </c>
      <c r="V450" s="77" t="s">
        <v>2188</v>
      </c>
      <c r="W450" s="77" t="s">
        <v>2188</v>
      </c>
      <c r="X450" s="77" t="s">
        <v>2188</v>
      </c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  <c r="AM450" s="77"/>
      <c r="AN450" s="77"/>
    </row>
    <row r="451" spans="1:40" s="39" customFormat="1" ht="15.75" thickBot="1" x14ac:dyDescent="0.3">
      <c r="A451" s="39" t="s">
        <v>442</v>
      </c>
      <c r="B451" s="39" t="s">
        <v>453</v>
      </c>
      <c r="C451" s="39" t="s">
        <v>1040</v>
      </c>
      <c r="D451" s="39" t="s">
        <v>454</v>
      </c>
      <c r="E451" s="67" t="s">
        <v>18</v>
      </c>
      <c r="F451" s="67" t="s">
        <v>1267</v>
      </c>
      <c r="G451" s="67"/>
      <c r="H451" s="67" t="s">
        <v>1377</v>
      </c>
      <c r="I451" s="67"/>
      <c r="J451" s="63" t="s">
        <v>1937</v>
      </c>
      <c r="K451" s="63" t="s">
        <v>1937</v>
      </c>
      <c r="L451" s="62" t="e">
        <f t="shared" si="9"/>
        <v>#VALUE!</v>
      </c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  <c r="AL451" s="36"/>
      <c r="AM451" s="36"/>
      <c r="AN451" s="36"/>
    </row>
    <row r="452" spans="1:40" s="39" customFormat="1" ht="15.75" thickBot="1" x14ac:dyDescent="0.3">
      <c r="A452" s="39" t="s">
        <v>442</v>
      </c>
      <c r="B452" t="s">
        <v>1003</v>
      </c>
      <c r="C452" t="s">
        <v>1040</v>
      </c>
      <c r="D452" t="s">
        <v>443</v>
      </c>
      <c r="E452" s="23" t="s">
        <v>15</v>
      </c>
      <c r="F452" s="23" t="s">
        <v>19</v>
      </c>
      <c r="G452" s="23"/>
      <c r="H452" s="23" t="s">
        <v>797</v>
      </c>
      <c r="I452" s="23"/>
      <c r="J452" s="63" t="s">
        <v>2351</v>
      </c>
      <c r="K452" s="63" t="s">
        <v>2351</v>
      </c>
      <c r="L452" s="62" t="e">
        <f t="shared" si="9"/>
        <v>#VALUE!</v>
      </c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  <c r="AL452" s="36"/>
      <c r="AM452" s="36"/>
      <c r="AN452" s="36"/>
    </row>
    <row r="453" spans="1:40" s="39" customFormat="1" ht="15.75" thickBot="1" x14ac:dyDescent="0.3">
      <c r="A453" s="39" t="s">
        <v>442</v>
      </c>
      <c r="B453" t="s">
        <v>1004</v>
      </c>
      <c r="C453" t="s">
        <v>1040</v>
      </c>
      <c r="D453" t="s">
        <v>444</v>
      </c>
      <c r="E453" s="23" t="s">
        <v>18</v>
      </c>
      <c r="F453" s="23" t="s">
        <v>1267</v>
      </c>
      <c r="G453" s="23"/>
      <c r="H453" s="23" t="s">
        <v>798</v>
      </c>
      <c r="I453" s="23"/>
      <c r="J453" s="63" t="s">
        <v>1939</v>
      </c>
      <c r="K453" s="63" t="s">
        <v>1939</v>
      </c>
      <c r="L453" s="62" t="e">
        <f t="shared" si="9"/>
        <v>#VALUE!</v>
      </c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  <c r="AL453" s="36"/>
      <c r="AM453" s="36"/>
      <c r="AN453" s="36"/>
    </row>
    <row r="454" spans="1:40" ht="15.75" thickBot="1" x14ac:dyDescent="0.3">
      <c r="A454" t="s">
        <v>442</v>
      </c>
      <c r="B454" t="s">
        <v>1005</v>
      </c>
      <c r="C454" t="s">
        <v>1040</v>
      </c>
      <c r="D454" t="s">
        <v>445</v>
      </c>
      <c r="E454" s="23" t="s">
        <v>18</v>
      </c>
      <c r="F454" s="23" t="s">
        <v>1267</v>
      </c>
      <c r="G454" s="23"/>
      <c r="H454" s="23" t="s">
        <v>799</v>
      </c>
      <c r="I454" s="23"/>
      <c r="J454" s="63" t="s">
        <v>1940</v>
      </c>
      <c r="K454" s="63" t="s">
        <v>1940</v>
      </c>
      <c r="L454" s="24" t="e">
        <f t="shared" si="9"/>
        <v>#VALUE!</v>
      </c>
      <c r="M454" s="36" t="s">
        <v>2188</v>
      </c>
      <c r="N454" s="36" t="s">
        <v>2188</v>
      </c>
      <c r="O454" s="36" t="s">
        <v>2188</v>
      </c>
      <c r="P454" s="36" t="s">
        <v>2188</v>
      </c>
      <c r="Q454" s="36"/>
      <c r="R454" s="36" t="s">
        <v>2188</v>
      </c>
      <c r="S454" s="36"/>
      <c r="T454" s="36"/>
      <c r="U454" s="36" t="s">
        <v>2188</v>
      </c>
      <c r="V454" s="36" t="s">
        <v>2188</v>
      </c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  <c r="AL454" s="36"/>
      <c r="AM454" s="36"/>
      <c r="AN454" s="36"/>
    </row>
    <row r="455" spans="1:40" ht="15.75" thickBot="1" x14ac:dyDescent="0.3">
      <c r="A455" t="s">
        <v>442</v>
      </c>
      <c r="B455" t="s">
        <v>1006</v>
      </c>
      <c r="C455" t="s">
        <v>1040</v>
      </c>
      <c r="D455" t="s">
        <v>448</v>
      </c>
      <c r="E455" s="23" t="s">
        <v>15</v>
      </c>
      <c r="F455" s="23" t="s">
        <v>19</v>
      </c>
      <c r="G455" s="23"/>
      <c r="H455" s="23" t="s">
        <v>782</v>
      </c>
      <c r="I455" s="23"/>
      <c r="J455" s="63" t="s">
        <v>2352</v>
      </c>
      <c r="K455" s="63" t="s">
        <v>2352</v>
      </c>
      <c r="L455" s="24" t="e">
        <f t="shared" si="9"/>
        <v>#VALUE!</v>
      </c>
      <c r="M455" s="36" t="s">
        <v>2188</v>
      </c>
      <c r="N455" s="36" t="s">
        <v>2188</v>
      </c>
      <c r="O455" s="36" t="s">
        <v>2188</v>
      </c>
      <c r="P455" s="36" t="s">
        <v>2188</v>
      </c>
      <c r="Q455" s="36"/>
      <c r="R455" s="36" t="s">
        <v>2188</v>
      </c>
      <c r="S455" s="36"/>
      <c r="T455" s="36"/>
      <c r="U455" s="36" t="s">
        <v>2188</v>
      </c>
      <c r="V455" s="36" t="s">
        <v>2188</v>
      </c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  <c r="AL455" s="36"/>
      <c r="AM455" s="36"/>
      <c r="AN455" s="36"/>
    </row>
    <row r="456" spans="1:40" ht="15.75" thickBot="1" x14ac:dyDescent="0.3">
      <c r="A456" t="s">
        <v>442</v>
      </c>
      <c r="B456" s="35" t="s">
        <v>1007</v>
      </c>
      <c r="C456" s="35" t="s">
        <v>1040</v>
      </c>
      <c r="D456" s="35" t="s">
        <v>449</v>
      </c>
      <c r="E456" s="72" t="s">
        <v>15</v>
      </c>
      <c r="F456" s="72" t="s">
        <v>19</v>
      </c>
      <c r="G456" s="72"/>
      <c r="H456" s="72" t="s">
        <v>801</v>
      </c>
      <c r="I456" s="72"/>
      <c r="J456" s="73"/>
      <c r="K456" s="73"/>
      <c r="L456" s="24" t="e">
        <f t="shared" si="9"/>
        <v>#DIV/0!</v>
      </c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  <c r="AL456" s="36"/>
      <c r="AM456" s="36"/>
      <c r="AN456" s="36"/>
    </row>
    <row r="457" spans="1:40" ht="15.75" thickBot="1" x14ac:dyDescent="0.3">
      <c r="A457" t="s">
        <v>442</v>
      </c>
      <c r="B457" t="s">
        <v>457</v>
      </c>
      <c r="C457" t="s">
        <v>1040</v>
      </c>
      <c r="D457" t="s">
        <v>458</v>
      </c>
      <c r="E457" s="23" t="s">
        <v>15</v>
      </c>
      <c r="F457" s="23" t="s">
        <v>19</v>
      </c>
      <c r="G457" s="23"/>
      <c r="H457" s="23" t="s">
        <v>796</v>
      </c>
      <c r="I457" s="23"/>
      <c r="J457" s="63" t="s">
        <v>2353</v>
      </c>
      <c r="K457" s="63" t="s">
        <v>2353</v>
      </c>
      <c r="L457" s="24" t="e">
        <f t="shared" si="9"/>
        <v>#VALUE!</v>
      </c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  <c r="AL457" s="36"/>
      <c r="AM457" s="36"/>
      <c r="AN457" s="36"/>
    </row>
    <row r="458" spans="1:40" s="39" customFormat="1" ht="15.75" thickBot="1" x14ac:dyDescent="0.3">
      <c r="A458" s="39" t="s">
        <v>1535</v>
      </c>
      <c r="B458" s="39" t="s">
        <v>460</v>
      </c>
      <c r="C458" s="39" t="s">
        <v>1040</v>
      </c>
      <c r="D458" s="39" t="s">
        <v>461</v>
      </c>
      <c r="E458" s="67" t="s">
        <v>15</v>
      </c>
      <c r="F458" s="67" t="s">
        <v>1267</v>
      </c>
      <c r="G458" s="67"/>
      <c r="H458" s="67" t="s">
        <v>802</v>
      </c>
      <c r="I458" s="67"/>
      <c r="J458" s="63" t="s">
        <v>1944</v>
      </c>
      <c r="K458" s="63" t="s">
        <v>1944</v>
      </c>
      <c r="L458" s="24" t="e">
        <f t="shared" si="9"/>
        <v>#VALUE!</v>
      </c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  <c r="AL458" s="36"/>
      <c r="AM458" s="36"/>
      <c r="AN458" s="36"/>
    </row>
    <row r="459" spans="1:40" s="39" customFormat="1" ht="15.75" thickBot="1" x14ac:dyDescent="0.3">
      <c r="A459" s="39" t="s">
        <v>1535</v>
      </c>
      <c r="B459" s="39" t="s">
        <v>1008</v>
      </c>
      <c r="C459" s="39" t="s">
        <v>1040</v>
      </c>
      <c r="D459" s="39" t="s">
        <v>450</v>
      </c>
      <c r="E459" s="67" t="s">
        <v>71</v>
      </c>
      <c r="F459" s="67" t="s">
        <v>1267</v>
      </c>
      <c r="G459" s="67"/>
      <c r="H459" s="67" t="s">
        <v>803</v>
      </c>
      <c r="I459" s="67"/>
      <c r="J459" s="63" t="s">
        <v>1945</v>
      </c>
      <c r="K459" s="63" t="s">
        <v>1945</v>
      </c>
      <c r="L459" s="24" t="e">
        <f t="shared" si="9"/>
        <v>#VALUE!</v>
      </c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  <c r="AK459" s="36"/>
      <c r="AL459" s="36"/>
      <c r="AM459" s="36"/>
      <c r="AN459" s="36"/>
    </row>
    <row r="460" spans="1:40" s="39" customFormat="1" ht="15.75" thickBot="1" x14ac:dyDescent="0.3">
      <c r="A460" s="39" t="s">
        <v>1541</v>
      </c>
      <c r="B460" s="39" t="s">
        <v>1009</v>
      </c>
      <c r="C460" s="39" t="s">
        <v>1040</v>
      </c>
      <c r="D460" s="39" t="s">
        <v>450</v>
      </c>
      <c r="E460" s="67" t="s">
        <v>71</v>
      </c>
      <c r="F460" s="67" t="s">
        <v>1267</v>
      </c>
      <c r="G460" s="67"/>
      <c r="H460" s="67" t="s">
        <v>804</v>
      </c>
      <c r="I460" s="67"/>
      <c r="J460" s="63" t="s">
        <v>1946</v>
      </c>
      <c r="K460" s="63" t="s">
        <v>1946</v>
      </c>
      <c r="L460" s="24" t="e">
        <f t="shared" si="9"/>
        <v>#VALUE!</v>
      </c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  <c r="AL460" s="36"/>
      <c r="AM460" s="36"/>
      <c r="AN460" s="36"/>
    </row>
    <row r="461" spans="1:40" s="39" customFormat="1" ht="15.75" thickBot="1" x14ac:dyDescent="0.3">
      <c r="A461" s="39" t="s">
        <v>1535</v>
      </c>
      <c r="B461" s="23" t="s">
        <v>1255</v>
      </c>
      <c r="C461" t="s">
        <v>1040</v>
      </c>
      <c r="D461" s="66" t="s">
        <v>1254</v>
      </c>
      <c r="E461" s="23" t="s">
        <v>71</v>
      </c>
      <c r="F461" s="23" t="s">
        <v>1267</v>
      </c>
      <c r="G461" s="23"/>
      <c r="H461" s="23" t="s">
        <v>1256</v>
      </c>
      <c r="I461" s="23"/>
      <c r="J461" s="63" t="s">
        <v>1949</v>
      </c>
      <c r="K461" s="63" t="s">
        <v>1949</v>
      </c>
      <c r="L461" s="24" t="e">
        <f t="shared" si="9"/>
        <v>#VALUE!</v>
      </c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  <c r="AL461" s="36"/>
      <c r="AM461" s="36"/>
      <c r="AN461" s="36"/>
    </row>
    <row r="462" spans="1:40" s="39" customFormat="1" ht="15.75" thickBot="1" x14ac:dyDescent="0.3">
      <c r="A462" s="39" t="s">
        <v>1535</v>
      </c>
      <c r="B462" t="s">
        <v>1253</v>
      </c>
      <c r="C462" t="s">
        <v>1040</v>
      </c>
      <c r="D462" s="66" t="s">
        <v>1254</v>
      </c>
      <c r="E462" s="23" t="s">
        <v>71</v>
      </c>
      <c r="F462" s="23" t="s">
        <v>1267</v>
      </c>
      <c r="G462" s="23"/>
      <c r="H462" s="23" t="s">
        <v>1257</v>
      </c>
      <c r="I462" s="23"/>
      <c r="J462" s="63" t="s">
        <v>1950</v>
      </c>
      <c r="K462" s="63" t="s">
        <v>1950</v>
      </c>
      <c r="L462" s="24" t="e">
        <f t="shared" si="9"/>
        <v>#VALUE!</v>
      </c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  <c r="AL462" s="36"/>
      <c r="AM462" s="36"/>
      <c r="AN462" s="36"/>
    </row>
    <row r="463" spans="1:40" s="39" customFormat="1" ht="15.75" thickBot="1" x14ac:dyDescent="0.3">
      <c r="A463" s="39" t="s">
        <v>1535</v>
      </c>
      <c r="B463" s="39" t="s">
        <v>1536</v>
      </c>
      <c r="C463" s="39" t="s">
        <v>1040</v>
      </c>
      <c r="D463" s="71" t="s">
        <v>1537</v>
      </c>
      <c r="E463" s="67" t="s">
        <v>15</v>
      </c>
      <c r="F463" s="67" t="s">
        <v>1267</v>
      </c>
      <c r="G463" s="67"/>
      <c r="H463" s="67" t="s">
        <v>1538</v>
      </c>
      <c r="I463" s="67"/>
      <c r="J463" s="63" t="s">
        <v>2354</v>
      </c>
      <c r="K463" s="63" t="s">
        <v>2354</v>
      </c>
      <c r="L463" s="24" t="e">
        <f t="shared" si="9"/>
        <v>#VALUE!</v>
      </c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  <c r="AL463" s="36"/>
      <c r="AM463" s="36"/>
      <c r="AN463" s="36"/>
    </row>
    <row r="464" spans="1:40" s="39" customFormat="1" ht="15.75" thickBot="1" x14ac:dyDescent="0.3">
      <c r="A464" s="39" t="s">
        <v>346</v>
      </c>
      <c r="B464" s="39" t="s">
        <v>1547</v>
      </c>
      <c r="C464" s="39" t="s">
        <v>1040</v>
      </c>
      <c r="D464" s="71" t="s">
        <v>1548</v>
      </c>
      <c r="E464" s="67" t="s">
        <v>18</v>
      </c>
      <c r="F464" s="67" t="s">
        <v>1267</v>
      </c>
      <c r="G464" s="67"/>
      <c r="H464" s="67" t="s">
        <v>1549</v>
      </c>
      <c r="I464" s="67"/>
      <c r="J464" s="63" t="s">
        <v>2355</v>
      </c>
      <c r="K464" s="63" t="s">
        <v>2355</v>
      </c>
      <c r="L464" s="62" t="e">
        <f t="shared" si="9"/>
        <v>#VALUE!</v>
      </c>
      <c r="M464" s="36" t="s">
        <v>2188</v>
      </c>
      <c r="N464" s="36" t="s">
        <v>2188</v>
      </c>
      <c r="O464" s="36" t="s">
        <v>2188</v>
      </c>
      <c r="P464" s="36" t="s">
        <v>2188</v>
      </c>
      <c r="Q464" s="36" t="s">
        <v>2188</v>
      </c>
      <c r="R464" s="36" t="s">
        <v>2188</v>
      </c>
      <c r="S464" s="36"/>
      <c r="T464" s="36"/>
      <c r="U464" s="36" t="s">
        <v>2188</v>
      </c>
      <c r="V464" s="36" t="s">
        <v>2188</v>
      </c>
      <c r="W464" s="36" t="s">
        <v>2188</v>
      </c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  <c r="AL464" s="36"/>
      <c r="AM464" s="36"/>
      <c r="AN464" s="36"/>
    </row>
    <row r="465" spans="1:40" s="39" customFormat="1" ht="15.75" thickBot="1" x14ac:dyDescent="0.3">
      <c r="A465" s="39" t="s">
        <v>346</v>
      </c>
      <c r="B465" s="39" t="s">
        <v>1540</v>
      </c>
      <c r="C465" s="39" t="s">
        <v>1040</v>
      </c>
      <c r="D465" s="71" t="s">
        <v>1542</v>
      </c>
      <c r="E465" s="67" t="s">
        <v>71</v>
      </c>
      <c r="F465" s="67" t="s">
        <v>1267</v>
      </c>
      <c r="G465" s="67"/>
      <c r="H465" s="67" t="s">
        <v>1543</v>
      </c>
      <c r="I465" s="67"/>
      <c r="J465" s="63" t="s">
        <v>2356</v>
      </c>
      <c r="K465" s="63" t="s">
        <v>2356</v>
      </c>
      <c r="L465" s="62" t="e">
        <f t="shared" si="9"/>
        <v>#VALUE!</v>
      </c>
      <c r="M465" s="36" t="s">
        <v>2188</v>
      </c>
      <c r="N465" s="36" t="s">
        <v>2188</v>
      </c>
      <c r="O465" s="36" t="s">
        <v>2188</v>
      </c>
      <c r="P465" s="36" t="s">
        <v>2188</v>
      </c>
      <c r="Q465" s="36" t="s">
        <v>2188</v>
      </c>
      <c r="R465" s="36" t="s">
        <v>2188</v>
      </c>
      <c r="S465" s="36"/>
      <c r="T465" s="36"/>
      <c r="U465" s="36" t="s">
        <v>2188</v>
      </c>
      <c r="V465" s="36" t="s">
        <v>2188</v>
      </c>
      <c r="W465" s="36" t="s">
        <v>2188</v>
      </c>
      <c r="X465" s="36" t="s">
        <v>2188</v>
      </c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  <c r="AL465" s="36"/>
      <c r="AM465" s="36"/>
      <c r="AN465" s="36"/>
    </row>
    <row r="466" spans="1:40" s="39" customFormat="1" ht="15.75" thickBot="1" x14ac:dyDescent="0.3">
      <c r="A466" s="39" t="s">
        <v>346</v>
      </c>
      <c r="B466" s="39" t="s">
        <v>1591</v>
      </c>
      <c r="C466" s="39" t="s">
        <v>1040</v>
      </c>
      <c r="D466" s="71" t="s">
        <v>1589</v>
      </c>
      <c r="E466" s="67" t="s">
        <v>71</v>
      </c>
      <c r="F466" s="67" t="s">
        <v>1267</v>
      </c>
      <c r="G466" s="67"/>
      <c r="H466" s="67" t="s">
        <v>1593</v>
      </c>
      <c r="I466" s="67"/>
      <c r="J466" s="63" t="s">
        <v>2357</v>
      </c>
      <c r="K466" s="63" t="s">
        <v>2357</v>
      </c>
      <c r="L466" s="62" t="e">
        <f t="shared" si="9"/>
        <v>#VALUE!</v>
      </c>
      <c r="M466" s="36" t="s">
        <v>2188</v>
      </c>
      <c r="N466" s="36" t="s">
        <v>2188</v>
      </c>
      <c r="O466" s="36" t="s">
        <v>2188</v>
      </c>
      <c r="P466" s="36" t="s">
        <v>2188</v>
      </c>
      <c r="Q466" s="36" t="s">
        <v>2188</v>
      </c>
      <c r="R466" s="36" t="s">
        <v>2188</v>
      </c>
      <c r="S466" s="36"/>
      <c r="T466" s="36"/>
      <c r="U466" s="36" t="s">
        <v>2188</v>
      </c>
      <c r="V466" s="36" t="s">
        <v>2188</v>
      </c>
      <c r="W466" s="36" t="s">
        <v>2188</v>
      </c>
      <c r="X466" s="36" t="s">
        <v>2188</v>
      </c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  <c r="AL466" s="36"/>
      <c r="AM466" s="36"/>
      <c r="AN466" s="36"/>
    </row>
    <row r="467" spans="1:40" s="39" customFormat="1" ht="15.75" thickBot="1" x14ac:dyDescent="0.3">
      <c r="A467" s="39" t="s">
        <v>420</v>
      </c>
      <c r="B467" s="39" t="s">
        <v>1592</v>
      </c>
      <c r="C467" s="39" t="s">
        <v>1040</v>
      </c>
      <c r="D467" s="71" t="s">
        <v>1590</v>
      </c>
      <c r="E467" s="67" t="s">
        <v>71</v>
      </c>
      <c r="F467" s="67" t="s">
        <v>1267</v>
      </c>
      <c r="G467" s="67"/>
      <c r="H467" s="67" t="s">
        <v>1594</v>
      </c>
      <c r="I467" s="67"/>
      <c r="J467" s="63" t="s">
        <v>2358</v>
      </c>
      <c r="K467" s="63" t="s">
        <v>2358</v>
      </c>
      <c r="L467" s="62" t="e">
        <f t="shared" si="9"/>
        <v>#VALUE!</v>
      </c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  <c r="AL467" s="36"/>
      <c r="AM467" s="36"/>
      <c r="AN467" s="36"/>
    </row>
    <row r="468" spans="1:40" s="39" customFormat="1" ht="15.75" thickBot="1" x14ac:dyDescent="0.3">
      <c r="B468" s="39" t="s">
        <v>2091</v>
      </c>
      <c r="C468" s="39" t="s">
        <v>1040</v>
      </c>
      <c r="D468" s="71" t="s">
        <v>2092</v>
      </c>
      <c r="E468" s="67"/>
      <c r="F468" s="67" t="s">
        <v>1267</v>
      </c>
      <c r="G468" s="67"/>
      <c r="H468" s="67" t="s">
        <v>2264</v>
      </c>
      <c r="I468" s="67"/>
      <c r="J468" s="63" t="s">
        <v>2359</v>
      </c>
      <c r="K468" s="63" t="s">
        <v>2359</v>
      </c>
      <c r="L468" s="62" t="e">
        <f t="shared" si="9"/>
        <v>#VALUE!</v>
      </c>
      <c r="M468" s="36" t="s">
        <v>2188</v>
      </c>
      <c r="N468" s="36" t="s">
        <v>2188</v>
      </c>
      <c r="O468" s="36" t="s">
        <v>2188</v>
      </c>
      <c r="P468" s="36" t="s">
        <v>2188</v>
      </c>
      <c r="Q468" s="36" t="s">
        <v>2188</v>
      </c>
      <c r="R468" s="36" t="s">
        <v>2188</v>
      </c>
      <c r="S468" s="36"/>
      <c r="T468" s="36"/>
      <c r="U468" s="36" t="s">
        <v>2188</v>
      </c>
      <c r="V468" s="36" t="s">
        <v>2188</v>
      </c>
      <c r="W468" s="36" t="s">
        <v>2188</v>
      </c>
      <c r="X468" s="36" t="s">
        <v>2188</v>
      </c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  <c r="AL468" s="36"/>
      <c r="AM468" s="36"/>
      <c r="AN468" s="36"/>
    </row>
    <row r="469" spans="1:40" ht="15.75" thickBot="1" x14ac:dyDescent="0.3">
      <c r="A469" t="s">
        <v>251</v>
      </c>
      <c r="B469" s="39" t="s">
        <v>463</v>
      </c>
      <c r="C469" s="39" t="s">
        <v>1040</v>
      </c>
      <c r="D469" s="39" t="s">
        <v>464</v>
      </c>
      <c r="E469" s="67" t="s">
        <v>71</v>
      </c>
      <c r="F469" s="67" t="s">
        <v>1267</v>
      </c>
      <c r="G469" s="67"/>
      <c r="H469" s="67" t="s">
        <v>807</v>
      </c>
      <c r="I469" s="67"/>
      <c r="J469" s="63" t="s">
        <v>1951</v>
      </c>
      <c r="K469" s="63" t="s">
        <v>1951</v>
      </c>
      <c r="L469" s="24" t="e">
        <f t="shared" si="9"/>
        <v>#VALUE!</v>
      </c>
      <c r="M469" s="36"/>
      <c r="N469" s="36"/>
      <c r="O469" s="36"/>
      <c r="P469" s="36"/>
      <c r="Q469" s="36"/>
      <c r="R469" s="36"/>
      <c r="S469" s="36"/>
      <c r="T469" s="36"/>
      <c r="U469" s="36" t="s">
        <v>2188</v>
      </c>
      <c r="V469" s="36"/>
      <c r="W469" s="36" t="s">
        <v>2188</v>
      </c>
      <c r="X469" s="36" t="s">
        <v>2188</v>
      </c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  <c r="AL469" s="36"/>
      <c r="AM469" s="36"/>
      <c r="AN469" s="36"/>
    </row>
    <row r="470" spans="1:40" ht="15.75" thickBot="1" x14ac:dyDescent="0.3">
      <c r="A470" t="s">
        <v>466</v>
      </c>
      <c r="B470" s="39" t="s">
        <v>465</v>
      </c>
      <c r="C470" s="39" t="s">
        <v>1040</v>
      </c>
      <c r="D470" s="39" t="s">
        <v>464</v>
      </c>
      <c r="E470" s="67" t="s">
        <v>71</v>
      </c>
      <c r="F470" s="67" t="s">
        <v>1267</v>
      </c>
      <c r="G470" s="67"/>
      <c r="H470" s="67" t="s">
        <v>808</v>
      </c>
      <c r="I470" s="67"/>
      <c r="J470" s="63" t="s">
        <v>1952</v>
      </c>
      <c r="K470" s="63" t="s">
        <v>1952</v>
      </c>
      <c r="L470" s="24" t="e">
        <f t="shared" si="9"/>
        <v>#VALUE!</v>
      </c>
      <c r="M470" s="36" t="s">
        <v>2188</v>
      </c>
      <c r="N470" s="36" t="s">
        <v>2188</v>
      </c>
      <c r="O470" s="36" t="s">
        <v>2188</v>
      </c>
      <c r="P470" s="36" t="s">
        <v>2188</v>
      </c>
      <c r="Q470" s="36" t="s">
        <v>2188</v>
      </c>
      <c r="R470" s="36" t="s">
        <v>2188</v>
      </c>
      <c r="S470" s="36"/>
      <c r="T470" s="36"/>
      <c r="U470" s="36" t="s">
        <v>2188</v>
      </c>
      <c r="V470" s="36" t="s">
        <v>2188</v>
      </c>
      <c r="W470" s="36" t="s">
        <v>2188</v>
      </c>
      <c r="X470" s="36" t="s">
        <v>2188</v>
      </c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  <c r="AL470" s="36"/>
      <c r="AM470" s="36"/>
      <c r="AN470" s="36"/>
    </row>
    <row r="471" spans="1:40" ht="15.75" thickBot="1" x14ac:dyDescent="0.3">
      <c r="A471" t="s">
        <v>466</v>
      </c>
      <c r="B471" s="67" t="s">
        <v>1077</v>
      </c>
      <c r="C471" s="67" t="s">
        <v>1040</v>
      </c>
      <c r="D471" s="39" t="s">
        <v>1076</v>
      </c>
      <c r="E471" s="67" t="s">
        <v>15</v>
      </c>
      <c r="F471" s="67" t="s">
        <v>1267</v>
      </c>
      <c r="G471" s="67"/>
      <c r="H471" s="67" t="s">
        <v>1078</v>
      </c>
      <c r="I471" s="67"/>
      <c r="J471" s="63"/>
      <c r="K471" s="63"/>
      <c r="L471" s="24" t="e">
        <f t="shared" ref="L471:L544" si="10">(I471)/(K471+I471)</f>
        <v>#DIV/0!</v>
      </c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  <c r="AL471" s="36"/>
      <c r="AM471" s="36"/>
      <c r="AN471" s="36"/>
    </row>
    <row r="472" spans="1:40" ht="15.75" thickBot="1" x14ac:dyDescent="0.3">
      <c r="A472" t="s">
        <v>470</v>
      </c>
      <c r="B472" s="67" t="s">
        <v>2063</v>
      </c>
      <c r="C472" t="s">
        <v>1039</v>
      </c>
      <c r="D472" s="39" t="s">
        <v>2064</v>
      </c>
      <c r="E472" s="67" t="s">
        <v>15</v>
      </c>
      <c r="F472" s="67" t="s">
        <v>1267</v>
      </c>
      <c r="G472" s="67"/>
      <c r="H472" s="67" t="s">
        <v>2265</v>
      </c>
      <c r="I472" s="67"/>
      <c r="J472" s="63" t="s">
        <v>2065</v>
      </c>
      <c r="K472" s="63" t="s">
        <v>2065</v>
      </c>
      <c r="L472" s="24" t="e">
        <f t="shared" si="10"/>
        <v>#VALUE!</v>
      </c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  <c r="AL472" s="36"/>
      <c r="AM472" s="36"/>
      <c r="AN472" s="36"/>
    </row>
    <row r="473" spans="1:40" ht="15.75" thickBot="1" x14ac:dyDescent="0.3">
      <c r="A473" t="s">
        <v>466</v>
      </c>
      <c r="B473" s="67" t="s">
        <v>2187</v>
      </c>
      <c r="C473" t="s">
        <v>1039</v>
      </c>
      <c r="D473" s="39" t="s">
        <v>2206</v>
      </c>
      <c r="E473" s="67" t="s">
        <v>71</v>
      </c>
      <c r="F473" s="67" t="s">
        <v>1267</v>
      </c>
      <c r="G473" s="67"/>
      <c r="H473" s="67" t="s">
        <v>2266</v>
      </c>
      <c r="I473" s="67"/>
      <c r="J473" s="63"/>
      <c r="K473" s="63"/>
      <c r="L473" s="24" t="e">
        <f t="shared" si="10"/>
        <v>#DIV/0!</v>
      </c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  <c r="AL473" s="36"/>
      <c r="AM473" s="36"/>
      <c r="AN473" s="36"/>
    </row>
    <row r="474" spans="1:40" ht="15.75" thickBot="1" x14ac:dyDescent="0.3">
      <c r="A474" t="s">
        <v>466</v>
      </c>
      <c r="B474" t="s">
        <v>1010</v>
      </c>
      <c r="C474" t="s">
        <v>1039</v>
      </c>
      <c r="D474" t="s">
        <v>483</v>
      </c>
      <c r="E474" s="23" t="s">
        <v>18</v>
      </c>
      <c r="F474" s="23" t="s">
        <v>1033</v>
      </c>
      <c r="G474" s="23" t="s">
        <v>1224</v>
      </c>
      <c r="H474" s="23" t="s">
        <v>817</v>
      </c>
      <c r="I474" s="23"/>
      <c r="J474" s="63" t="s">
        <v>1953</v>
      </c>
      <c r="K474" s="63" t="s">
        <v>1953</v>
      </c>
      <c r="L474" s="24" t="e">
        <f t="shared" si="10"/>
        <v>#VALUE!</v>
      </c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  <c r="AL474" s="36"/>
      <c r="AM474" s="36"/>
      <c r="AN474" s="36"/>
    </row>
    <row r="475" spans="1:40" s="39" customFormat="1" ht="15.75" thickBot="1" x14ac:dyDescent="0.3">
      <c r="A475" s="39" t="s">
        <v>466</v>
      </c>
      <c r="B475" t="s">
        <v>467</v>
      </c>
      <c r="C475" t="s">
        <v>1039</v>
      </c>
      <c r="D475" t="s">
        <v>1545</v>
      </c>
      <c r="E475" s="23" t="s">
        <v>18</v>
      </c>
      <c r="F475" s="23" t="s">
        <v>1033</v>
      </c>
      <c r="G475" s="23" t="s">
        <v>1224</v>
      </c>
      <c r="H475" s="23" t="s">
        <v>809</v>
      </c>
      <c r="I475" s="23"/>
      <c r="J475" s="63" t="s">
        <v>1954</v>
      </c>
      <c r="K475" s="63" t="s">
        <v>1954</v>
      </c>
      <c r="L475" s="62" t="e">
        <f t="shared" si="10"/>
        <v>#VALUE!</v>
      </c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  <c r="AK475" s="36"/>
      <c r="AL475" s="36"/>
      <c r="AM475" s="36"/>
      <c r="AN475" s="36"/>
    </row>
    <row r="476" spans="1:40" s="39" customFormat="1" ht="15.75" thickBot="1" x14ac:dyDescent="0.3">
      <c r="A476" s="39" t="s">
        <v>466</v>
      </c>
      <c r="B476" t="s">
        <v>468</v>
      </c>
      <c r="C476" t="s">
        <v>1039</v>
      </c>
      <c r="D476" t="s">
        <v>469</v>
      </c>
      <c r="E476" s="23" t="s">
        <v>18</v>
      </c>
      <c r="F476" s="23" t="s">
        <v>27</v>
      </c>
      <c r="G476" s="23"/>
      <c r="H476" s="23" t="s">
        <v>810</v>
      </c>
      <c r="I476" s="23"/>
      <c r="J476" s="63" t="s">
        <v>1955</v>
      </c>
      <c r="K476" s="63" t="s">
        <v>1955</v>
      </c>
      <c r="L476" s="24" t="e">
        <f t="shared" si="10"/>
        <v>#VALUE!</v>
      </c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  <c r="AK476" s="36"/>
      <c r="AL476" s="36"/>
      <c r="AM476" s="36"/>
      <c r="AN476" s="36"/>
    </row>
    <row r="477" spans="1:40" ht="15.75" thickBot="1" x14ac:dyDescent="0.3">
      <c r="A477" t="s">
        <v>466</v>
      </c>
      <c r="B477" t="s">
        <v>471</v>
      </c>
      <c r="C477" t="s">
        <v>1039</v>
      </c>
      <c r="D477" t="s">
        <v>472</v>
      </c>
      <c r="E477" s="23" t="s">
        <v>18</v>
      </c>
      <c r="F477" s="23" t="s">
        <v>27</v>
      </c>
      <c r="G477" s="23"/>
      <c r="H477" s="23" t="s">
        <v>811</v>
      </c>
      <c r="I477" s="23"/>
      <c r="J477" s="63" t="s">
        <v>1956</v>
      </c>
      <c r="K477" s="63" t="s">
        <v>1956</v>
      </c>
      <c r="L477" s="24" t="e">
        <f t="shared" si="10"/>
        <v>#VALUE!</v>
      </c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  <c r="AK477" s="36"/>
      <c r="AL477" s="36"/>
      <c r="AM477" s="36"/>
      <c r="AN477" s="36"/>
    </row>
    <row r="478" spans="1:40" s="39" customFormat="1" ht="15.75" thickBot="1" x14ac:dyDescent="0.3">
      <c r="A478" s="39" t="s">
        <v>466</v>
      </c>
      <c r="B478" t="s">
        <v>473</v>
      </c>
      <c r="C478" t="s">
        <v>1039</v>
      </c>
      <c r="D478" t="s">
        <v>474</v>
      </c>
      <c r="E478" s="23" t="s">
        <v>15</v>
      </c>
      <c r="F478" s="23" t="s">
        <v>27</v>
      </c>
      <c r="G478" s="23"/>
      <c r="H478" s="23" t="s">
        <v>812</v>
      </c>
      <c r="I478" s="23"/>
      <c r="J478" s="63" t="s">
        <v>1957</v>
      </c>
      <c r="K478" s="63" t="s">
        <v>1957</v>
      </c>
      <c r="L478" s="62" t="e">
        <f t="shared" si="10"/>
        <v>#VALUE!</v>
      </c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  <c r="AK478" s="36"/>
      <c r="AL478" s="36"/>
      <c r="AM478" s="36"/>
      <c r="AN478" s="36"/>
    </row>
    <row r="479" spans="1:40" s="39" customFormat="1" ht="15.75" thickBot="1" x14ac:dyDescent="0.3">
      <c r="A479" s="39" t="s">
        <v>466</v>
      </c>
      <c r="B479" t="s">
        <v>475</v>
      </c>
      <c r="C479" t="s">
        <v>1039</v>
      </c>
      <c r="D479" t="s">
        <v>476</v>
      </c>
      <c r="E479" s="23" t="s">
        <v>18</v>
      </c>
      <c r="F479" s="23" t="s">
        <v>27</v>
      </c>
      <c r="G479" s="23"/>
      <c r="H479" s="23" t="s">
        <v>813</v>
      </c>
      <c r="I479" s="23"/>
      <c r="J479" s="63" t="s">
        <v>1958</v>
      </c>
      <c r="K479" s="63" t="s">
        <v>1958</v>
      </c>
      <c r="L479" s="42" t="e">
        <f t="shared" si="10"/>
        <v>#VALUE!</v>
      </c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36"/>
      <c r="AM479" s="36"/>
      <c r="AN479" s="36"/>
    </row>
    <row r="480" spans="1:40" ht="15.75" thickBot="1" x14ac:dyDescent="0.3">
      <c r="A480" t="s">
        <v>466</v>
      </c>
      <c r="B480" s="39" t="s">
        <v>477</v>
      </c>
      <c r="C480" s="39" t="s">
        <v>1039</v>
      </c>
      <c r="D480" s="39" t="s">
        <v>478</v>
      </c>
      <c r="E480" s="67" t="s">
        <v>15</v>
      </c>
      <c r="F480" s="67" t="s">
        <v>1267</v>
      </c>
      <c r="G480" s="67"/>
      <c r="H480" s="67" t="s">
        <v>814</v>
      </c>
      <c r="I480" s="67"/>
      <c r="J480" s="63" t="s">
        <v>1959</v>
      </c>
      <c r="K480" s="63" t="s">
        <v>1959</v>
      </c>
      <c r="L480" s="24" t="e">
        <f t="shared" si="10"/>
        <v>#VALUE!</v>
      </c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  <c r="AK480" s="36"/>
      <c r="AL480" s="36"/>
      <c r="AM480" s="36"/>
      <c r="AN480" s="36"/>
    </row>
    <row r="481" spans="1:40" ht="15.75" thickBot="1" x14ac:dyDescent="0.3">
      <c r="A481" t="s">
        <v>466</v>
      </c>
      <c r="B481" s="39" t="s">
        <v>479</v>
      </c>
      <c r="C481" s="39" t="s">
        <v>1039</v>
      </c>
      <c r="D481" s="39" t="s">
        <v>480</v>
      </c>
      <c r="E481" s="67" t="s">
        <v>18</v>
      </c>
      <c r="F481" s="67" t="s">
        <v>1267</v>
      </c>
      <c r="G481" s="67"/>
      <c r="H481" s="67" t="s">
        <v>815</v>
      </c>
      <c r="I481" s="67"/>
      <c r="J481" s="63" t="s">
        <v>1960</v>
      </c>
      <c r="K481" s="63" t="s">
        <v>1960</v>
      </c>
      <c r="L481" s="24" t="e">
        <f t="shared" si="10"/>
        <v>#VALUE!</v>
      </c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  <c r="AK481" s="36"/>
      <c r="AL481" s="36"/>
      <c r="AM481" s="36"/>
      <c r="AN481" s="36"/>
    </row>
    <row r="482" spans="1:40" ht="15.75" thickBot="1" x14ac:dyDescent="0.3">
      <c r="A482" t="s">
        <v>466</v>
      </c>
      <c r="B482" t="s">
        <v>481</v>
      </c>
      <c r="C482" t="s">
        <v>1039</v>
      </c>
      <c r="D482" t="s">
        <v>482</v>
      </c>
      <c r="E482" s="23" t="s">
        <v>18</v>
      </c>
      <c r="F482" s="23" t="s">
        <v>1033</v>
      </c>
      <c r="G482" s="23" t="s">
        <v>1225</v>
      </c>
      <c r="H482" s="23" t="s">
        <v>816</v>
      </c>
      <c r="I482" s="23"/>
      <c r="J482" s="63" t="s">
        <v>1961</v>
      </c>
      <c r="K482" s="63" t="s">
        <v>1961</v>
      </c>
      <c r="L482" s="24" t="e">
        <f t="shared" si="10"/>
        <v>#VALUE!</v>
      </c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  <c r="AK482" s="36"/>
      <c r="AL482" s="36"/>
      <c r="AM482" s="36"/>
      <c r="AN482" s="36"/>
    </row>
    <row r="483" spans="1:40" s="39" customFormat="1" ht="15.75" thickBot="1" x14ac:dyDescent="0.3">
      <c r="A483" s="39" t="s">
        <v>466</v>
      </c>
      <c r="B483" s="39" t="s">
        <v>1158</v>
      </c>
      <c r="C483" s="39" t="s">
        <v>1039</v>
      </c>
      <c r="D483" s="39" t="s">
        <v>1159</v>
      </c>
      <c r="E483" s="67" t="s">
        <v>1086</v>
      </c>
      <c r="F483" s="67" t="s">
        <v>1267</v>
      </c>
      <c r="G483" s="67"/>
      <c r="H483" s="67" t="s">
        <v>1160</v>
      </c>
      <c r="I483" s="67"/>
      <c r="J483" s="63" t="s">
        <v>1962</v>
      </c>
      <c r="K483" s="63" t="s">
        <v>1962</v>
      </c>
      <c r="L483" s="42" t="e">
        <f t="shared" si="10"/>
        <v>#VALUE!</v>
      </c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36"/>
      <c r="AM483" s="36"/>
      <c r="AN483" s="36"/>
    </row>
    <row r="484" spans="1:40" s="39" customFormat="1" ht="15.75" thickBot="1" x14ac:dyDescent="0.3">
      <c r="A484" s="39" t="s">
        <v>466</v>
      </c>
      <c r="B484" s="39" t="s">
        <v>1161</v>
      </c>
      <c r="C484" s="39" t="s">
        <v>1039</v>
      </c>
      <c r="D484" s="39" t="s">
        <v>1159</v>
      </c>
      <c r="E484" s="67" t="s">
        <v>1086</v>
      </c>
      <c r="F484" s="67" t="s">
        <v>27</v>
      </c>
      <c r="G484" s="67"/>
      <c r="H484" s="67" t="s">
        <v>1162</v>
      </c>
      <c r="I484" s="67"/>
      <c r="J484" s="63" t="s">
        <v>1963</v>
      </c>
      <c r="K484" s="63" t="s">
        <v>1963</v>
      </c>
      <c r="L484" s="42" t="e">
        <f t="shared" si="10"/>
        <v>#VALUE!</v>
      </c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36"/>
      <c r="AM484" s="36"/>
      <c r="AN484" s="36"/>
    </row>
    <row r="485" spans="1:40" s="39" customFormat="1" ht="15.75" thickBot="1" x14ac:dyDescent="0.3">
      <c r="A485" s="39" t="s">
        <v>466</v>
      </c>
      <c r="B485" t="s">
        <v>1191</v>
      </c>
      <c r="C485" t="s">
        <v>1039</v>
      </c>
      <c r="D485" t="s">
        <v>1207</v>
      </c>
      <c r="E485" t="s">
        <v>71</v>
      </c>
      <c r="F485" t="s">
        <v>27</v>
      </c>
      <c r="G485"/>
      <c r="H485" s="23" t="s">
        <v>1249</v>
      </c>
      <c r="I485" s="23"/>
      <c r="J485" s="63" t="s">
        <v>1964</v>
      </c>
      <c r="K485" s="63" t="s">
        <v>1964</v>
      </c>
      <c r="L485" s="42" t="e">
        <f t="shared" si="10"/>
        <v>#VALUE!</v>
      </c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36"/>
      <c r="AM485" s="36"/>
      <c r="AN485" s="36"/>
    </row>
    <row r="486" spans="1:40" s="39" customFormat="1" ht="15.75" thickBot="1" x14ac:dyDescent="0.3">
      <c r="A486" s="39" t="s">
        <v>466</v>
      </c>
      <c r="B486" t="s">
        <v>1192</v>
      </c>
      <c r="C486" t="s">
        <v>1039</v>
      </c>
      <c r="D486" t="s">
        <v>1207</v>
      </c>
      <c r="E486" t="s">
        <v>71</v>
      </c>
      <c r="F486" t="s">
        <v>27</v>
      </c>
      <c r="G486"/>
      <c r="H486" s="23" t="s">
        <v>1250</v>
      </c>
      <c r="I486" s="23"/>
      <c r="J486" s="63" t="s">
        <v>1965</v>
      </c>
      <c r="K486" s="63" t="s">
        <v>1965</v>
      </c>
      <c r="L486" s="42" t="e">
        <f t="shared" si="10"/>
        <v>#VALUE!</v>
      </c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36"/>
      <c r="AM486" s="36"/>
      <c r="AN486" s="36"/>
    </row>
    <row r="487" spans="1:40" s="39" customFormat="1" ht="15.75" thickBot="1" x14ac:dyDescent="0.3">
      <c r="A487" s="39" t="s">
        <v>466</v>
      </c>
      <c r="B487" t="s">
        <v>1296</v>
      </c>
      <c r="C487" t="s">
        <v>1039</v>
      </c>
      <c r="D487" s="66" t="s">
        <v>1297</v>
      </c>
      <c r="E487" t="s">
        <v>71</v>
      </c>
      <c r="F487" t="s">
        <v>27</v>
      </c>
      <c r="G487"/>
      <c r="H487" s="23" t="s">
        <v>1289</v>
      </c>
      <c r="I487" s="23"/>
      <c r="J487" s="63" t="s">
        <v>1966</v>
      </c>
      <c r="K487" s="63" t="s">
        <v>1966</v>
      </c>
      <c r="L487" s="42" t="e">
        <f t="shared" si="10"/>
        <v>#VALUE!</v>
      </c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36"/>
      <c r="AM487" s="36"/>
      <c r="AN487" s="36"/>
    </row>
    <row r="488" spans="1:40" s="39" customFormat="1" ht="15.75" thickBot="1" x14ac:dyDescent="0.3">
      <c r="A488" s="39" t="s">
        <v>466</v>
      </c>
      <c r="B488" s="39" t="s">
        <v>1307</v>
      </c>
      <c r="C488" s="39" t="s">
        <v>1039</v>
      </c>
      <c r="D488" s="71" t="s">
        <v>1314</v>
      </c>
      <c r="E488" s="39" t="s">
        <v>15</v>
      </c>
      <c r="F488" s="39" t="s">
        <v>1267</v>
      </c>
      <c r="H488" s="67" t="s">
        <v>1376</v>
      </c>
      <c r="I488" s="67"/>
      <c r="J488" s="63" t="s">
        <v>1967</v>
      </c>
      <c r="K488" s="63" t="s">
        <v>1967</v>
      </c>
      <c r="L488" s="42" t="e">
        <f t="shared" si="10"/>
        <v>#VALUE!</v>
      </c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36"/>
      <c r="AM488" s="36"/>
      <c r="AN488" s="36"/>
    </row>
    <row r="489" spans="1:40" s="39" customFormat="1" ht="15.75" thickBot="1" x14ac:dyDescent="0.3">
      <c r="A489" s="39" t="s">
        <v>216</v>
      </c>
      <c r="B489" s="39" t="s">
        <v>1539</v>
      </c>
      <c r="C489" s="39" t="s">
        <v>1039</v>
      </c>
      <c r="D489" s="71" t="s">
        <v>1544</v>
      </c>
      <c r="E489" s="39" t="s">
        <v>15</v>
      </c>
      <c r="F489" s="39" t="s">
        <v>1267</v>
      </c>
      <c r="H489" s="67" t="s">
        <v>1546</v>
      </c>
      <c r="I489" s="67"/>
      <c r="J489" s="63" t="s">
        <v>2083</v>
      </c>
      <c r="K489" s="63" t="s">
        <v>2083</v>
      </c>
      <c r="L489" s="62" t="e">
        <f t="shared" si="10"/>
        <v>#VALUE!</v>
      </c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  <c r="AK489" s="36"/>
      <c r="AL489" s="36"/>
      <c r="AM489" s="36"/>
      <c r="AN489" s="36"/>
    </row>
    <row r="490" spans="1:40" ht="15.75" thickBot="1" x14ac:dyDescent="0.3">
      <c r="A490" t="s">
        <v>216</v>
      </c>
      <c r="B490" s="39" t="s">
        <v>1557</v>
      </c>
      <c r="C490" s="39" t="s">
        <v>1039</v>
      </c>
      <c r="D490" s="71" t="s">
        <v>1550</v>
      </c>
      <c r="E490" s="39" t="s">
        <v>18</v>
      </c>
      <c r="F490" s="39" t="s">
        <v>1267</v>
      </c>
      <c r="G490" s="39"/>
      <c r="H490" s="67" t="s">
        <v>1558</v>
      </c>
      <c r="I490" s="67"/>
      <c r="J490" s="63" t="s">
        <v>2084</v>
      </c>
      <c r="K490" s="63" t="s">
        <v>2084</v>
      </c>
      <c r="L490" s="24" t="e">
        <f t="shared" si="10"/>
        <v>#VALUE!</v>
      </c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  <c r="AK490" s="36"/>
      <c r="AL490" s="36"/>
      <c r="AM490" s="36"/>
      <c r="AN490" s="36"/>
    </row>
    <row r="491" spans="1:40" ht="15.75" thickBot="1" x14ac:dyDescent="0.3">
      <c r="A491" t="s">
        <v>216</v>
      </c>
      <c r="B491" s="39" t="s">
        <v>1552</v>
      </c>
      <c r="C491" s="39" t="s">
        <v>1039</v>
      </c>
      <c r="D491" s="71" t="s">
        <v>1551</v>
      </c>
      <c r="E491" s="39" t="s">
        <v>1086</v>
      </c>
      <c r="F491" s="39" t="s">
        <v>1267</v>
      </c>
      <c r="G491" s="39"/>
      <c r="H491" s="67" t="s">
        <v>1556</v>
      </c>
      <c r="I491" s="67"/>
      <c r="J491" s="63" t="s">
        <v>2085</v>
      </c>
      <c r="K491" s="63" t="s">
        <v>2085</v>
      </c>
      <c r="L491" s="24" t="e">
        <f t="shared" si="10"/>
        <v>#VALUE!</v>
      </c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  <c r="AK491" s="36"/>
      <c r="AL491" s="36"/>
      <c r="AM491" s="36"/>
      <c r="AN491" s="36"/>
    </row>
    <row r="492" spans="1:40" ht="15.75" thickBot="1" x14ac:dyDescent="0.3">
      <c r="A492" t="s">
        <v>216</v>
      </c>
      <c r="B492" s="39" t="s">
        <v>1553</v>
      </c>
      <c r="C492" s="39" t="s">
        <v>1039</v>
      </c>
      <c r="D492" s="71" t="s">
        <v>1554</v>
      </c>
      <c r="E492" s="39" t="s">
        <v>1086</v>
      </c>
      <c r="F492" s="39" t="s">
        <v>1267</v>
      </c>
      <c r="G492" s="39"/>
      <c r="H492" s="67" t="s">
        <v>1555</v>
      </c>
      <c r="I492" s="67"/>
      <c r="J492" s="63" t="s">
        <v>2086</v>
      </c>
      <c r="K492" s="63" t="s">
        <v>2086</v>
      </c>
      <c r="L492" s="24" t="e">
        <f t="shared" si="10"/>
        <v>#VALUE!</v>
      </c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  <c r="AK492" s="36"/>
      <c r="AL492" s="36"/>
      <c r="AM492" s="36"/>
      <c r="AN492" s="36"/>
    </row>
    <row r="493" spans="1:40" ht="15.75" thickBot="1" x14ac:dyDescent="0.3">
      <c r="A493" t="s">
        <v>216</v>
      </c>
      <c r="B493" s="39" t="s">
        <v>2197</v>
      </c>
      <c r="C493" s="39" t="s">
        <v>1039</v>
      </c>
      <c r="D493" s="71" t="s">
        <v>2198</v>
      </c>
      <c r="E493" s="23" t="s">
        <v>15</v>
      </c>
      <c r="F493" s="39" t="s">
        <v>1267</v>
      </c>
      <c r="G493" s="39"/>
      <c r="H493" s="67" t="s">
        <v>2220</v>
      </c>
      <c r="I493" s="67"/>
      <c r="J493" s="63" t="s">
        <v>2221</v>
      </c>
      <c r="K493" s="63" t="s">
        <v>2221</v>
      </c>
      <c r="L493" s="24" t="e">
        <f t="shared" si="10"/>
        <v>#VALUE!</v>
      </c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  <c r="AK493" s="36"/>
      <c r="AL493" s="36"/>
      <c r="AM493" s="36"/>
      <c r="AN493" s="36"/>
    </row>
    <row r="494" spans="1:40" ht="15.75" thickBot="1" x14ac:dyDescent="0.3">
      <c r="A494" t="s">
        <v>216</v>
      </c>
      <c r="B494" s="39" t="s">
        <v>484</v>
      </c>
      <c r="C494" s="39" t="s">
        <v>1040</v>
      </c>
      <c r="D494" s="39" t="s">
        <v>485</v>
      </c>
      <c r="E494" s="67" t="s">
        <v>18</v>
      </c>
      <c r="F494" s="67" t="s">
        <v>1267</v>
      </c>
      <c r="G494" s="67"/>
      <c r="H494" s="67" t="s">
        <v>818</v>
      </c>
      <c r="I494" s="67"/>
      <c r="J494" s="63" t="s">
        <v>1968</v>
      </c>
      <c r="K494" s="63" t="s">
        <v>1968</v>
      </c>
      <c r="L494" s="24" t="e">
        <f t="shared" si="10"/>
        <v>#VALUE!</v>
      </c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  <c r="AK494" s="36"/>
      <c r="AL494" s="36"/>
      <c r="AM494" s="36"/>
      <c r="AN494" s="36"/>
    </row>
    <row r="495" spans="1:40" ht="15.75" thickBot="1" x14ac:dyDescent="0.3">
      <c r="A495" t="s">
        <v>216</v>
      </c>
      <c r="B495" t="s">
        <v>486</v>
      </c>
      <c r="C495" t="s">
        <v>1040</v>
      </c>
      <c r="D495" t="s">
        <v>487</v>
      </c>
      <c r="E495" s="23" t="s">
        <v>15</v>
      </c>
      <c r="F495" s="23" t="s">
        <v>19</v>
      </c>
      <c r="G495" s="23"/>
      <c r="H495" s="23" t="s">
        <v>819</v>
      </c>
      <c r="I495" s="23"/>
      <c r="J495" s="63" t="s">
        <v>2360</v>
      </c>
      <c r="K495" s="63" t="s">
        <v>2360</v>
      </c>
      <c r="L495" s="24" t="e">
        <f t="shared" si="10"/>
        <v>#VALUE!</v>
      </c>
      <c r="M495" s="36"/>
      <c r="N495" s="36"/>
      <c r="O495" s="36" t="s">
        <v>2188</v>
      </c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  <c r="AK495" s="36"/>
      <c r="AL495" s="36"/>
      <c r="AM495" s="36"/>
      <c r="AN495" s="36"/>
    </row>
    <row r="496" spans="1:40" ht="15.75" thickBot="1" x14ac:dyDescent="0.3">
      <c r="A496" t="s">
        <v>216</v>
      </c>
      <c r="B496" t="s">
        <v>1011</v>
      </c>
      <c r="C496" t="s">
        <v>1040</v>
      </c>
      <c r="D496" t="s">
        <v>496</v>
      </c>
      <c r="E496" s="23" t="s">
        <v>71</v>
      </c>
      <c r="F496" s="23" t="s">
        <v>27</v>
      </c>
      <c r="G496" s="23"/>
      <c r="H496" s="23" t="s">
        <v>825</v>
      </c>
      <c r="I496" s="23"/>
      <c r="J496" s="63" t="s">
        <v>1970</v>
      </c>
      <c r="K496" s="63" t="s">
        <v>1970</v>
      </c>
      <c r="L496" s="24" t="e">
        <f t="shared" si="10"/>
        <v>#VALUE!</v>
      </c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  <c r="AK496" s="36"/>
      <c r="AL496" s="36"/>
      <c r="AM496" s="36"/>
      <c r="AN496" s="36"/>
    </row>
    <row r="497" spans="1:40" ht="15.75" thickBot="1" x14ac:dyDescent="0.3">
      <c r="A497" t="s">
        <v>216</v>
      </c>
      <c r="B497" t="s">
        <v>1012</v>
      </c>
      <c r="C497" t="s">
        <v>1040</v>
      </c>
      <c r="D497" t="s">
        <v>496</v>
      </c>
      <c r="E497" s="23" t="s">
        <v>71</v>
      </c>
      <c r="F497" s="23" t="s">
        <v>27</v>
      </c>
      <c r="G497" s="23"/>
      <c r="H497" s="23" t="s">
        <v>826</v>
      </c>
      <c r="I497" s="23"/>
      <c r="J497" s="63" t="s">
        <v>1971</v>
      </c>
      <c r="K497" s="63" t="s">
        <v>1971</v>
      </c>
      <c r="L497" s="24" t="e">
        <f t="shared" si="10"/>
        <v>#VALUE!</v>
      </c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  <c r="AK497" s="36"/>
      <c r="AL497" s="36"/>
      <c r="AM497" s="36"/>
      <c r="AN497" s="36"/>
    </row>
    <row r="498" spans="1:40" ht="15.75" thickBot="1" x14ac:dyDescent="0.3">
      <c r="A498" t="s">
        <v>216</v>
      </c>
      <c r="B498" t="s">
        <v>488</v>
      </c>
      <c r="C498" t="s">
        <v>1040</v>
      </c>
      <c r="D498" t="s">
        <v>489</v>
      </c>
      <c r="E498" s="23" t="s">
        <v>71</v>
      </c>
      <c r="F498" s="23" t="s">
        <v>19</v>
      </c>
      <c r="G498" s="23"/>
      <c r="H498" s="23" t="s">
        <v>820</v>
      </c>
      <c r="I498" s="23"/>
      <c r="J498" s="63" t="s">
        <v>2361</v>
      </c>
      <c r="K498" s="63" t="s">
        <v>2361</v>
      </c>
      <c r="L498" s="24" t="e">
        <f t="shared" si="10"/>
        <v>#VALUE!</v>
      </c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  <c r="AK498" s="36"/>
      <c r="AL498" s="36"/>
      <c r="AM498" s="36"/>
      <c r="AN498" s="36"/>
    </row>
    <row r="499" spans="1:40" ht="15.75" thickBot="1" x14ac:dyDescent="0.3">
      <c r="A499" t="s">
        <v>216</v>
      </c>
      <c r="B499" t="s">
        <v>490</v>
      </c>
      <c r="C499" t="s">
        <v>1040</v>
      </c>
      <c r="D499" t="s">
        <v>489</v>
      </c>
      <c r="E499" s="23" t="s">
        <v>71</v>
      </c>
      <c r="F499" s="23" t="s">
        <v>19</v>
      </c>
      <c r="G499" s="23"/>
      <c r="H499" s="23" t="s">
        <v>821</v>
      </c>
      <c r="I499" s="23"/>
      <c r="J499" s="63" t="s">
        <v>2362</v>
      </c>
      <c r="K499" s="63" t="s">
        <v>2362</v>
      </c>
      <c r="L499" s="24" t="e">
        <f t="shared" si="10"/>
        <v>#VALUE!</v>
      </c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  <c r="AK499" s="36"/>
      <c r="AL499" s="36"/>
      <c r="AM499" s="36"/>
      <c r="AN499" s="36"/>
    </row>
    <row r="500" spans="1:40" ht="15.75" thickBot="1" x14ac:dyDescent="0.3">
      <c r="A500" t="s">
        <v>216</v>
      </c>
      <c r="B500" t="s">
        <v>491</v>
      </c>
      <c r="C500" t="s">
        <v>1040</v>
      </c>
      <c r="D500" t="s">
        <v>492</v>
      </c>
      <c r="E500" s="23" t="s">
        <v>71</v>
      </c>
      <c r="F500" s="23" t="s">
        <v>19</v>
      </c>
      <c r="G500" s="23"/>
      <c r="H500" s="23" t="s">
        <v>822</v>
      </c>
      <c r="I500" s="23"/>
      <c r="J500" s="63" t="s">
        <v>2363</v>
      </c>
      <c r="K500" s="63" t="s">
        <v>2363</v>
      </c>
      <c r="L500" s="24" t="e">
        <f t="shared" si="10"/>
        <v>#VALUE!</v>
      </c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  <c r="AK500" s="36"/>
      <c r="AL500" s="36"/>
      <c r="AM500" s="36"/>
      <c r="AN500" s="36"/>
    </row>
    <row r="501" spans="1:40" ht="15.75" thickBot="1" x14ac:dyDescent="0.3">
      <c r="A501" t="s">
        <v>216</v>
      </c>
      <c r="B501" t="s">
        <v>493</v>
      </c>
      <c r="C501" t="s">
        <v>1040</v>
      </c>
      <c r="D501" t="s">
        <v>492</v>
      </c>
      <c r="E501" s="23" t="s">
        <v>71</v>
      </c>
      <c r="F501" s="23" t="s">
        <v>19</v>
      </c>
      <c r="G501" s="23"/>
      <c r="H501" s="23" t="s">
        <v>823</v>
      </c>
      <c r="I501" s="23"/>
      <c r="J501" s="63" t="s">
        <v>2364</v>
      </c>
      <c r="K501" s="63" t="s">
        <v>2364</v>
      </c>
      <c r="L501" s="24" t="e">
        <f t="shared" si="10"/>
        <v>#VALUE!</v>
      </c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  <c r="AK501" s="36"/>
      <c r="AL501" s="36"/>
      <c r="AM501" s="36"/>
      <c r="AN501" s="36"/>
    </row>
    <row r="502" spans="1:40" ht="15.75" thickBot="1" x14ac:dyDescent="0.3">
      <c r="A502" t="s">
        <v>216</v>
      </c>
      <c r="B502" t="s">
        <v>494</v>
      </c>
      <c r="C502" t="s">
        <v>1040</v>
      </c>
      <c r="D502" t="s">
        <v>495</v>
      </c>
      <c r="E502" s="23" t="s">
        <v>15</v>
      </c>
      <c r="F502" s="23" t="s">
        <v>27</v>
      </c>
      <c r="G502" s="23"/>
      <c r="H502" s="23" t="s">
        <v>824</v>
      </c>
      <c r="I502" s="23"/>
      <c r="J502" s="63" t="s">
        <v>1969</v>
      </c>
      <c r="K502" s="63" t="s">
        <v>1969</v>
      </c>
      <c r="L502" s="24" t="e">
        <f t="shared" si="10"/>
        <v>#VALUE!</v>
      </c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  <c r="AK502" s="36"/>
      <c r="AL502" s="36"/>
      <c r="AM502" s="36"/>
      <c r="AN502" s="36"/>
    </row>
    <row r="503" spans="1:40" ht="15.75" thickBot="1" x14ac:dyDescent="0.3">
      <c r="A503" t="s">
        <v>505</v>
      </c>
      <c r="B503" t="s">
        <v>497</v>
      </c>
      <c r="C503" t="s">
        <v>1040</v>
      </c>
      <c r="D503" t="s">
        <v>498</v>
      </c>
      <c r="E503" s="23" t="s">
        <v>71</v>
      </c>
      <c r="F503" s="23" t="s">
        <v>27</v>
      </c>
      <c r="G503" s="23"/>
      <c r="H503" s="23" t="s">
        <v>827</v>
      </c>
      <c r="I503" s="23"/>
      <c r="J503" s="63" t="s">
        <v>1972</v>
      </c>
      <c r="K503" s="63" t="s">
        <v>1972</v>
      </c>
      <c r="L503" s="24" t="e">
        <f t="shared" si="10"/>
        <v>#VALUE!</v>
      </c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  <c r="AK503" s="36"/>
      <c r="AL503" s="36"/>
      <c r="AM503" s="36"/>
      <c r="AN503" s="36"/>
    </row>
    <row r="504" spans="1:40" ht="15.75" thickBot="1" x14ac:dyDescent="0.3">
      <c r="A504" t="s">
        <v>501</v>
      </c>
      <c r="B504" t="s">
        <v>499</v>
      </c>
      <c r="C504" t="s">
        <v>1040</v>
      </c>
      <c r="D504" t="s">
        <v>498</v>
      </c>
      <c r="E504" s="23" t="s">
        <v>71</v>
      </c>
      <c r="F504" s="23" t="s">
        <v>27</v>
      </c>
      <c r="G504" s="23"/>
      <c r="H504" s="23" t="s">
        <v>828</v>
      </c>
      <c r="I504" s="23"/>
      <c r="J504" s="63" t="s">
        <v>1973</v>
      </c>
      <c r="K504" s="63" t="s">
        <v>1973</v>
      </c>
      <c r="L504" s="24" t="e">
        <f t="shared" si="10"/>
        <v>#VALUE!</v>
      </c>
      <c r="M504" s="36"/>
      <c r="N504" s="36"/>
      <c r="O504" s="36"/>
      <c r="P504" s="36"/>
      <c r="Q504" s="36"/>
      <c r="R504" s="36"/>
      <c r="S504" s="36"/>
      <c r="T504" s="36"/>
      <c r="U504" s="36" t="s">
        <v>2188</v>
      </c>
      <c r="V504" s="36" t="s">
        <v>2188</v>
      </c>
      <c r="W504" s="36" t="s">
        <v>2188</v>
      </c>
      <c r="X504" s="36" t="s">
        <v>2188</v>
      </c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  <c r="AK504" s="36"/>
      <c r="AL504" s="36"/>
      <c r="AM504" s="36"/>
      <c r="AN504" s="36"/>
    </row>
    <row r="505" spans="1:40" ht="15.75" thickBot="1" x14ac:dyDescent="0.3">
      <c r="A505" t="s">
        <v>501</v>
      </c>
      <c r="B505" s="23" t="s">
        <v>1067</v>
      </c>
      <c r="C505" s="23" t="s">
        <v>1040</v>
      </c>
      <c r="D505" t="s">
        <v>1068</v>
      </c>
      <c r="E505" s="23" t="s">
        <v>18</v>
      </c>
      <c r="F505" s="23" t="s">
        <v>27</v>
      </c>
      <c r="G505" s="23"/>
      <c r="H505" s="23" t="s">
        <v>1069</v>
      </c>
      <c r="I505" s="23"/>
      <c r="J505" s="63" t="s">
        <v>1974</v>
      </c>
      <c r="K505" s="63" t="s">
        <v>1974</v>
      </c>
      <c r="L505" s="24" t="e">
        <f t="shared" si="10"/>
        <v>#VALUE!</v>
      </c>
      <c r="M505" s="36"/>
      <c r="N505" s="36"/>
      <c r="O505" s="36"/>
      <c r="P505" s="36"/>
      <c r="Q505" s="36"/>
      <c r="R505" s="36"/>
      <c r="S505" s="36"/>
      <c r="T505" s="36"/>
      <c r="U505" s="36" t="s">
        <v>2188</v>
      </c>
      <c r="V505" s="36" t="s">
        <v>2188</v>
      </c>
      <c r="W505" s="36" t="s">
        <v>2188</v>
      </c>
      <c r="X505" s="36" t="s">
        <v>2188</v>
      </c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  <c r="AK505" s="36"/>
      <c r="AL505" s="36"/>
      <c r="AM505" s="36"/>
      <c r="AN505" s="36"/>
    </row>
    <row r="506" spans="1:40" ht="15.75" thickBot="1" x14ac:dyDescent="0.3">
      <c r="A506" s="39" t="s">
        <v>501</v>
      </c>
      <c r="B506" s="23" t="s">
        <v>1072</v>
      </c>
      <c r="C506" s="23" t="s">
        <v>1040</v>
      </c>
      <c r="D506" t="s">
        <v>1070</v>
      </c>
      <c r="E506" s="23" t="s">
        <v>18</v>
      </c>
      <c r="F506" s="23" t="s">
        <v>27</v>
      </c>
      <c r="G506" s="23"/>
      <c r="H506" s="23" t="s">
        <v>1071</v>
      </c>
      <c r="I506" s="23"/>
      <c r="J506" s="63" t="s">
        <v>1975</v>
      </c>
      <c r="K506" s="63" t="s">
        <v>1975</v>
      </c>
      <c r="L506" s="24" t="e">
        <f t="shared" si="10"/>
        <v>#VALUE!</v>
      </c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  <c r="AK506" s="36"/>
      <c r="AL506" s="36"/>
      <c r="AM506" s="36"/>
      <c r="AN506" s="36"/>
    </row>
    <row r="507" spans="1:40" s="39" customFormat="1" ht="15.75" thickBot="1" x14ac:dyDescent="0.3">
      <c r="A507" s="39" t="s">
        <v>501</v>
      </c>
      <c r="B507" s="23" t="s">
        <v>1073</v>
      </c>
      <c r="C507" s="23" t="s">
        <v>1040</v>
      </c>
      <c r="D507" t="s">
        <v>1074</v>
      </c>
      <c r="E507" s="23" t="s">
        <v>18</v>
      </c>
      <c r="F507" s="23" t="s">
        <v>27</v>
      </c>
      <c r="G507" s="23"/>
      <c r="H507" s="23" t="s">
        <v>1075</v>
      </c>
      <c r="I507" s="23"/>
      <c r="J507" s="63" t="s">
        <v>1976</v>
      </c>
      <c r="K507" s="63" t="s">
        <v>1976</v>
      </c>
      <c r="L507" s="62" t="e">
        <f t="shared" si="10"/>
        <v>#VALUE!</v>
      </c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  <c r="AK507" s="36"/>
      <c r="AL507" s="36"/>
      <c r="AM507" s="36"/>
      <c r="AN507" s="36"/>
    </row>
    <row r="508" spans="1:40" ht="15.75" thickBot="1" x14ac:dyDescent="0.3">
      <c r="A508" t="s">
        <v>501</v>
      </c>
      <c r="B508" t="s">
        <v>1013</v>
      </c>
      <c r="C508" t="s">
        <v>1040</v>
      </c>
      <c r="D508" t="s">
        <v>527</v>
      </c>
      <c r="E508" s="23" t="s">
        <v>18</v>
      </c>
      <c r="F508" s="23" t="s">
        <v>27</v>
      </c>
      <c r="G508" s="23"/>
      <c r="H508" s="23" t="s">
        <v>837</v>
      </c>
      <c r="I508" s="23"/>
      <c r="J508" s="63" t="s">
        <v>1986</v>
      </c>
      <c r="K508" s="63" t="s">
        <v>1986</v>
      </c>
      <c r="L508" s="24" t="e">
        <f t="shared" si="10"/>
        <v>#VALUE!</v>
      </c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  <c r="AK508" s="36"/>
      <c r="AL508" s="36"/>
      <c r="AM508" s="36"/>
      <c r="AN508" s="36"/>
    </row>
    <row r="509" spans="1:40" ht="15.75" thickBot="1" x14ac:dyDescent="0.3">
      <c r="A509" t="s">
        <v>501</v>
      </c>
      <c r="B509" t="s">
        <v>1014</v>
      </c>
      <c r="C509" t="s">
        <v>1040</v>
      </c>
      <c r="D509" t="s">
        <v>530</v>
      </c>
      <c r="E509" s="23" t="s">
        <v>15</v>
      </c>
      <c r="F509" s="23" t="s">
        <v>2281</v>
      </c>
      <c r="G509" s="23"/>
      <c r="H509" s="23" t="s">
        <v>841</v>
      </c>
      <c r="I509" s="23"/>
      <c r="J509" s="63" t="s">
        <v>1990</v>
      </c>
      <c r="K509" s="63" t="s">
        <v>1990</v>
      </c>
      <c r="L509" s="24" t="e">
        <f t="shared" si="10"/>
        <v>#VALUE!</v>
      </c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  <c r="AK509" s="36"/>
      <c r="AL509" s="36"/>
      <c r="AM509" s="36"/>
      <c r="AN509" s="36"/>
    </row>
    <row r="510" spans="1:40" s="39" customFormat="1" ht="15.75" thickBot="1" x14ac:dyDescent="0.3">
      <c r="A510" s="39" t="s">
        <v>505</v>
      </c>
      <c r="B510" t="s">
        <v>503</v>
      </c>
      <c r="C510" t="s">
        <v>1040</v>
      </c>
      <c r="D510" t="s">
        <v>504</v>
      </c>
      <c r="E510" s="23" t="s">
        <v>15</v>
      </c>
      <c r="F510" s="23" t="s">
        <v>1033</v>
      </c>
      <c r="G510" s="23" t="s">
        <v>1227</v>
      </c>
      <c r="H510" s="23" t="s">
        <v>842</v>
      </c>
      <c r="I510" s="23"/>
      <c r="J510" s="63" t="s">
        <v>1991</v>
      </c>
      <c r="K510" s="63" t="s">
        <v>1991</v>
      </c>
      <c r="L510" s="62" t="e">
        <f t="shared" si="10"/>
        <v>#VALUE!</v>
      </c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  <c r="AK510" s="36"/>
      <c r="AL510" s="36"/>
      <c r="AM510" s="36"/>
      <c r="AN510" s="36"/>
    </row>
    <row r="511" spans="1:40" ht="15.75" thickBot="1" x14ac:dyDescent="0.3">
      <c r="A511" t="s">
        <v>505</v>
      </c>
      <c r="B511" t="s">
        <v>506</v>
      </c>
      <c r="C511" t="s">
        <v>1040</v>
      </c>
      <c r="D511" t="s">
        <v>507</v>
      </c>
      <c r="E511" s="23" t="s">
        <v>15</v>
      </c>
      <c r="F511" s="23" t="s">
        <v>1033</v>
      </c>
      <c r="G511" s="23" t="s">
        <v>1223</v>
      </c>
      <c r="H511" s="23" t="s">
        <v>843</v>
      </c>
      <c r="I511" s="23"/>
      <c r="J511" s="63" t="s">
        <v>1992</v>
      </c>
      <c r="K511" s="63" t="s">
        <v>1992</v>
      </c>
      <c r="L511" s="24" t="e">
        <f t="shared" si="10"/>
        <v>#VALUE!</v>
      </c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  <c r="AK511" s="36"/>
      <c r="AL511" s="36"/>
      <c r="AM511" s="36"/>
      <c r="AN511" s="36"/>
    </row>
    <row r="512" spans="1:40" ht="15.75" thickBot="1" x14ac:dyDescent="0.3">
      <c r="A512" t="s">
        <v>501</v>
      </c>
      <c r="B512" t="s">
        <v>508</v>
      </c>
      <c r="C512" t="s">
        <v>1040</v>
      </c>
      <c r="D512" t="s">
        <v>1062</v>
      </c>
      <c r="E512" s="23" t="s">
        <v>15</v>
      </c>
      <c r="F512" s="23" t="s">
        <v>1033</v>
      </c>
      <c r="G512" s="23" t="s">
        <v>1228</v>
      </c>
      <c r="H512" s="23" t="s">
        <v>844</v>
      </c>
      <c r="I512" s="23"/>
      <c r="J512" s="63" t="s">
        <v>1993</v>
      </c>
      <c r="K512" s="63" t="s">
        <v>1993</v>
      </c>
      <c r="L512" s="24" t="e">
        <f t="shared" si="10"/>
        <v>#VALUE!</v>
      </c>
      <c r="M512" s="36"/>
      <c r="N512" s="36"/>
      <c r="O512" s="36"/>
      <c r="P512" s="36"/>
      <c r="Q512" s="36"/>
      <c r="R512" s="36" t="s">
        <v>2188</v>
      </c>
      <c r="S512" s="36"/>
      <c r="T512" s="36"/>
      <c r="U512" s="36" t="s">
        <v>2188</v>
      </c>
      <c r="V512" s="36" t="s">
        <v>2188</v>
      </c>
      <c r="W512" s="36" t="s">
        <v>2188</v>
      </c>
      <c r="X512" s="36" t="s">
        <v>2188</v>
      </c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  <c r="AK512" s="36"/>
      <c r="AL512" s="36"/>
      <c r="AM512" s="36"/>
      <c r="AN512" s="36"/>
    </row>
    <row r="513" spans="1:40" ht="15.75" thickBot="1" x14ac:dyDescent="0.3">
      <c r="A513" t="s">
        <v>505</v>
      </c>
      <c r="B513" s="39" t="s">
        <v>511</v>
      </c>
      <c r="C513" s="39" t="s">
        <v>1040</v>
      </c>
      <c r="D513" s="39" t="s">
        <v>512</v>
      </c>
      <c r="E513" s="67" t="s">
        <v>45</v>
      </c>
      <c r="F513" s="67" t="s">
        <v>1267</v>
      </c>
      <c r="G513" s="67"/>
      <c r="H513" s="67" t="s">
        <v>1321</v>
      </c>
      <c r="I513" s="67"/>
      <c r="J513" s="63" t="s">
        <v>1995</v>
      </c>
      <c r="K513" s="63" t="s">
        <v>1995</v>
      </c>
      <c r="L513" s="24" t="e">
        <f t="shared" si="10"/>
        <v>#VALUE!</v>
      </c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  <c r="AK513" s="36"/>
      <c r="AL513" s="36"/>
      <c r="AM513" s="36"/>
      <c r="AN513" s="36"/>
    </row>
    <row r="514" spans="1:40" ht="15.75" thickBot="1" x14ac:dyDescent="0.3">
      <c r="A514" t="s">
        <v>505</v>
      </c>
      <c r="B514" t="s">
        <v>1015</v>
      </c>
      <c r="C514" t="s">
        <v>1040</v>
      </c>
      <c r="D514" t="s">
        <v>531</v>
      </c>
      <c r="E514" s="23" t="s">
        <v>71</v>
      </c>
      <c r="F514" s="23" t="s">
        <v>27</v>
      </c>
      <c r="G514" s="23"/>
      <c r="H514" s="23" t="s">
        <v>847</v>
      </c>
      <c r="I514" s="23"/>
      <c r="J514" s="63" t="s">
        <v>1996</v>
      </c>
      <c r="K514" s="63" t="s">
        <v>1996</v>
      </c>
      <c r="L514" s="24" t="e">
        <f t="shared" si="10"/>
        <v>#VALUE!</v>
      </c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  <c r="AK514" s="36"/>
      <c r="AL514" s="36"/>
      <c r="AM514" s="36"/>
      <c r="AN514" s="36"/>
    </row>
    <row r="515" spans="1:40" ht="15.75" thickBot="1" x14ac:dyDescent="0.3">
      <c r="A515" t="s">
        <v>501</v>
      </c>
      <c r="B515" t="s">
        <v>1016</v>
      </c>
      <c r="C515" t="s">
        <v>1040</v>
      </c>
      <c r="D515" t="s">
        <v>531</v>
      </c>
      <c r="E515" s="23" t="s">
        <v>71</v>
      </c>
      <c r="F515" s="23" t="s">
        <v>27</v>
      </c>
      <c r="G515" s="23"/>
      <c r="H515" s="23" t="s">
        <v>848</v>
      </c>
      <c r="I515" s="23"/>
      <c r="J515" s="63" t="s">
        <v>1997</v>
      </c>
      <c r="K515" s="63" t="s">
        <v>1997</v>
      </c>
      <c r="L515" s="24" t="e">
        <f t="shared" si="10"/>
        <v>#VALUE!</v>
      </c>
      <c r="M515" s="36" t="s">
        <v>2188</v>
      </c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 t="s">
        <v>2188</v>
      </c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  <c r="AK515" s="36"/>
      <c r="AL515" s="36"/>
      <c r="AM515" s="36"/>
      <c r="AN515" s="36"/>
    </row>
    <row r="516" spans="1:40" ht="15.75" thickBot="1" x14ac:dyDescent="0.3">
      <c r="A516" t="s">
        <v>505</v>
      </c>
      <c r="B516" t="s">
        <v>1115</v>
      </c>
      <c r="C516" t="s">
        <v>1040</v>
      </c>
      <c r="D516" t="s">
        <v>1117</v>
      </c>
      <c r="E516" s="23" t="s">
        <v>71</v>
      </c>
      <c r="F516" s="23" t="s">
        <v>2295</v>
      </c>
      <c r="G516" s="23"/>
      <c r="H516" s="23" t="s">
        <v>1118</v>
      </c>
      <c r="I516" s="23"/>
      <c r="J516" s="63" t="s">
        <v>2000</v>
      </c>
      <c r="K516" s="63" t="s">
        <v>2000</v>
      </c>
      <c r="L516" s="24" t="e">
        <f t="shared" si="10"/>
        <v>#VALUE!</v>
      </c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  <c r="AK516" s="36"/>
      <c r="AL516" s="36"/>
      <c r="AM516" s="36"/>
      <c r="AN516" s="36"/>
    </row>
    <row r="517" spans="1:40" ht="15.75" thickBot="1" x14ac:dyDescent="0.3">
      <c r="A517" t="s">
        <v>505</v>
      </c>
      <c r="B517" t="s">
        <v>1116</v>
      </c>
      <c r="C517" t="s">
        <v>1040</v>
      </c>
      <c r="D517" t="s">
        <v>1117</v>
      </c>
      <c r="E517" s="23" t="s">
        <v>1086</v>
      </c>
      <c r="F517" s="23" t="s">
        <v>2295</v>
      </c>
      <c r="G517" s="23"/>
      <c r="H517" s="23" t="s">
        <v>1119</v>
      </c>
      <c r="I517" s="23"/>
      <c r="J517" s="63" t="s">
        <v>2001</v>
      </c>
      <c r="K517" s="63" t="s">
        <v>2001</v>
      </c>
      <c r="L517" s="24" t="e">
        <f t="shared" si="10"/>
        <v>#VALUE!</v>
      </c>
      <c r="M517" s="36"/>
      <c r="N517" s="36"/>
      <c r="O517" s="36"/>
      <c r="P517" s="36"/>
      <c r="Q517" s="36"/>
      <c r="R517" s="36"/>
      <c r="S517" s="36"/>
      <c r="T517" s="36"/>
      <c r="U517" s="36" t="s">
        <v>2188</v>
      </c>
      <c r="V517" s="36" t="s">
        <v>2188</v>
      </c>
      <c r="W517" s="36" t="s">
        <v>2188</v>
      </c>
      <c r="X517" s="36" t="s">
        <v>2188</v>
      </c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  <c r="AK517" s="36"/>
      <c r="AL517" s="36"/>
      <c r="AM517" s="36"/>
      <c r="AN517" s="36"/>
    </row>
    <row r="518" spans="1:40" ht="15.75" thickBot="1" x14ac:dyDescent="0.3">
      <c r="A518" t="s">
        <v>505</v>
      </c>
      <c r="B518" s="67" t="s">
        <v>1178</v>
      </c>
      <c r="C518" s="67" t="s">
        <v>1040</v>
      </c>
      <c r="D518" s="39" t="s">
        <v>1174</v>
      </c>
      <c r="E518" s="67" t="s">
        <v>15</v>
      </c>
      <c r="F518" s="67" t="s">
        <v>1267</v>
      </c>
      <c r="G518" s="67"/>
      <c r="H518" s="67" t="s">
        <v>1175</v>
      </c>
      <c r="I518" s="67"/>
      <c r="J518" s="63" t="s">
        <v>2002</v>
      </c>
      <c r="K518" s="63" t="s">
        <v>2002</v>
      </c>
      <c r="L518" s="24" t="e">
        <f t="shared" si="10"/>
        <v>#VALUE!</v>
      </c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  <c r="AL518" s="36"/>
      <c r="AM518" s="36"/>
      <c r="AN518" s="36"/>
    </row>
    <row r="519" spans="1:40" ht="15.75" thickBot="1" x14ac:dyDescent="0.3">
      <c r="A519" t="s">
        <v>505</v>
      </c>
      <c r="B519" s="23" t="s">
        <v>1468</v>
      </c>
      <c r="C519" s="23" t="s">
        <v>1040</v>
      </c>
      <c r="D519" t="s">
        <v>1469</v>
      </c>
      <c r="E519" s="23" t="s">
        <v>1086</v>
      </c>
      <c r="F519" s="23" t="s">
        <v>2295</v>
      </c>
      <c r="G519" s="23"/>
      <c r="H519" s="23" t="s">
        <v>1470</v>
      </c>
      <c r="I519" s="23"/>
      <c r="J519" s="63" t="s">
        <v>2003</v>
      </c>
      <c r="K519" s="63" t="s">
        <v>2003</v>
      </c>
      <c r="L519" s="24" t="e">
        <f t="shared" si="10"/>
        <v>#VALUE!</v>
      </c>
      <c r="M519" s="36" t="s">
        <v>2188</v>
      </c>
      <c r="N519" s="36" t="s">
        <v>2188</v>
      </c>
      <c r="O519" s="36" t="s">
        <v>2188</v>
      </c>
      <c r="P519" s="36" t="s">
        <v>2188</v>
      </c>
      <c r="Q519" s="36" t="s">
        <v>2188</v>
      </c>
      <c r="R519" s="36" t="s">
        <v>2188</v>
      </c>
      <c r="S519" s="36"/>
      <c r="T519" s="36"/>
      <c r="U519" s="36" t="s">
        <v>2188</v>
      </c>
      <c r="V519" s="36" t="s">
        <v>2188</v>
      </c>
      <c r="W519" s="36" t="s">
        <v>2188</v>
      </c>
      <c r="X519" s="36" t="s">
        <v>2188</v>
      </c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  <c r="AL519" s="36"/>
      <c r="AM519" s="36"/>
      <c r="AN519" s="36"/>
    </row>
    <row r="520" spans="1:40" ht="15.75" thickBot="1" x14ac:dyDescent="0.3">
      <c r="A520" t="s">
        <v>501</v>
      </c>
      <c r="B520" s="67" t="s">
        <v>1517</v>
      </c>
      <c r="C520" s="67" t="s">
        <v>1040</v>
      </c>
      <c r="D520" s="39" t="s">
        <v>1518</v>
      </c>
      <c r="E520" s="67" t="s">
        <v>15</v>
      </c>
      <c r="F520" s="67" t="s">
        <v>1267</v>
      </c>
      <c r="G520" s="67"/>
      <c r="H520" s="67" t="s">
        <v>1519</v>
      </c>
      <c r="I520" s="67"/>
      <c r="J520" s="63" t="s">
        <v>2004</v>
      </c>
      <c r="K520" s="63" t="s">
        <v>2004</v>
      </c>
      <c r="L520" s="24" t="e">
        <f t="shared" si="10"/>
        <v>#VALUE!</v>
      </c>
      <c r="M520" s="36"/>
      <c r="N520" s="36"/>
      <c r="O520" s="36"/>
      <c r="P520" s="36"/>
      <c r="Q520" s="36"/>
      <c r="R520" s="36"/>
      <c r="S520" s="36"/>
      <c r="T520" s="36"/>
      <c r="U520" s="36" t="s">
        <v>2188</v>
      </c>
      <c r="V520" s="36" t="s">
        <v>2188</v>
      </c>
      <c r="W520" s="36" t="s">
        <v>2188</v>
      </c>
      <c r="X520" s="36" t="s">
        <v>2188</v>
      </c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  <c r="AL520" s="36"/>
      <c r="AM520" s="36"/>
      <c r="AN520" s="36"/>
    </row>
    <row r="521" spans="1:40" ht="15.75" thickBot="1" x14ac:dyDescent="0.3">
      <c r="A521" t="s">
        <v>501</v>
      </c>
      <c r="B521" t="s">
        <v>513</v>
      </c>
      <c r="C521" t="s">
        <v>1040</v>
      </c>
      <c r="D521" t="s">
        <v>2159</v>
      </c>
      <c r="E521" s="23" t="s">
        <v>18</v>
      </c>
      <c r="F521" s="23" t="s">
        <v>2295</v>
      </c>
      <c r="G521" s="23"/>
      <c r="H521" s="23" t="s">
        <v>829</v>
      </c>
      <c r="I521" s="23"/>
      <c r="J521" s="63" t="s">
        <v>1977</v>
      </c>
      <c r="K521" s="63" t="s">
        <v>1977</v>
      </c>
      <c r="L521" s="24" t="e">
        <f t="shared" si="10"/>
        <v>#VALUE!</v>
      </c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  <c r="AL521" s="36"/>
      <c r="AM521" s="36"/>
      <c r="AN521" s="36"/>
    </row>
    <row r="522" spans="1:40" s="39" customFormat="1" ht="15.75" thickBot="1" x14ac:dyDescent="0.3">
      <c r="A522" s="39" t="s">
        <v>505</v>
      </c>
      <c r="B522" t="s">
        <v>514</v>
      </c>
      <c r="C522" t="s">
        <v>1040</v>
      </c>
      <c r="D522" t="s">
        <v>1063</v>
      </c>
      <c r="E522" s="23" t="s">
        <v>18</v>
      </c>
      <c r="F522" s="23" t="s">
        <v>27</v>
      </c>
      <c r="G522" s="23"/>
      <c r="H522" s="23" t="s">
        <v>830</v>
      </c>
      <c r="I522" s="23"/>
      <c r="J522" s="63" t="s">
        <v>1978</v>
      </c>
      <c r="K522" s="63" t="s">
        <v>1978</v>
      </c>
      <c r="L522" s="62" t="e">
        <f t="shared" si="10"/>
        <v>#VALUE!</v>
      </c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  <c r="AL522" s="36"/>
      <c r="AM522" s="36"/>
      <c r="AN522" s="36"/>
    </row>
    <row r="523" spans="1:40" ht="15.75" thickBot="1" x14ac:dyDescent="0.3">
      <c r="A523" t="s">
        <v>501</v>
      </c>
      <c r="B523" t="s">
        <v>515</v>
      </c>
      <c r="C523" t="s">
        <v>1040</v>
      </c>
      <c r="D523" t="s">
        <v>516</v>
      </c>
      <c r="E523" s="23" t="s">
        <v>18</v>
      </c>
      <c r="F523" s="23" t="s">
        <v>27</v>
      </c>
      <c r="G523" s="23"/>
      <c r="H523" s="23" t="s">
        <v>831</v>
      </c>
      <c r="I523" s="23"/>
      <c r="J523" s="63" t="s">
        <v>1979</v>
      </c>
      <c r="K523" s="63" t="s">
        <v>1979</v>
      </c>
      <c r="L523" s="24" t="e">
        <f t="shared" si="10"/>
        <v>#VALUE!</v>
      </c>
      <c r="M523" s="36"/>
      <c r="N523" s="36"/>
      <c r="O523" s="36"/>
      <c r="P523" s="36"/>
      <c r="Q523" s="36"/>
      <c r="R523" s="36"/>
      <c r="S523" s="36"/>
      <c r="T523" s="36"/>
      <c r="U523" s="36" t="s">
        <v>2188</v>
      </c>
      <c r="V523" s="36" t="s">
        <v>2188</v>
      </c>
      <c r="W523" s="36" t="s">
        <v>2188</v>
      </c>
      <c r="X523" s="36" t="s">
        <v>2188</v>
      </c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  <c r="AL523" s="36"/>
      <c r="AM523" s="36"/>
      <c r="AN523" s="36"/>
    </row>
    <row r="524" spans="1:40" ht="15.75" thickBot="1" x14ac:dyDescent="0.3">
      <c r="A524" t="s">
        <v>501</v>
      </c>
      <c r="B524" s="39" t="s">
        <v>517</v>
      </c>
      <c r="C524" s="39" t="s">
        <v>1040</v>
      </c>
      <c r="D524" s="39" t="s">
        <v>518</v>
      </c>
      <c r="E524" s="67" t="s">
        <v>18</v>
      </c>
      <c r="F524" s="67" t="s">
        <v>27</v>
      </c>
      <c r="G524" s="67"/>
      <c r="H524" s="67" t="s">
        <v>832</v>
      </c>
      <c r="I524" s="67"/>
      <c r="J524" s="63" t="s">
        <v>1980</v>
      </c>
      <c r="K524" s="63" t="s">
        <v>1980</v>
      </c>
      <c r="L524" s="24" t="e">
        <f t="shared" si="10"/>
        <v>#VALUE!</v>
      </c>
      <c r="M524" s="36"/>
      <c r="N524" s="36"/>
      <c r="O524" s="36"/>
      <c r="P524" s="36"/>
      <c r="Q524" s="36"/>
      <c r="R524" s="36"/>
      <c r="S524" s="36"/>
      <c r="T524" s="36"/>
      <c r="U524" s="36" t="s">
        <v>2188</v>
      </c>
      <c r="V524" s="36" t="s">
        <v>2188</v>
      </c>
      <c r="W524" s="36" t="s">
        <v>2188</v>
      </c>
      <c r="X524" s="36" t="s">
        <v>2188</v>
      </c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  <c r="AL524" s="36"/>
      <c r="AM524" s="36"/>
      <c r="AN524" s="36"/>
    </row>
    <row r="525" spans="1:40" ht="15.75" thickBot="1" x14ac:dyDescent="0.3">
      <c r="A525" t="s">
        <v>501</v>
      </c>
      <c r="B525" s="39" t="s">
        <v>519</v>
      </c>
      <c r="C525" s="39" t="s">
        <v>1040</v>
      </c>
      <c r="D525" s="39" t="s">
        <v>520</v>
      </c>
      <c r="E525" s="67" t="s">
        <v>18</v>
      </c>
      <c r="F525" s="67" t="s">
        <v>1267</v>
      </c>
      <c r="G525" s="67"/>
      <c r="H525" s="67" t="s">
        <v>1440</v>
      </c>
      <c r="I525" s="67"/>
      <c r="J525" s="63" t="s">
        <v>1981</v>
      </c>
      <c r="K525" s="63" t="s">
        <v>1981</v>
      </c>
      <c r="L525" s="24" t="e">
        <f t="shared" si="10"/>
        <v>#VALUE!</v>
      </c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  <c r="AL525" s="36"/>
      <c r="AM525" s="36"/>
      <c r="AN525" s="36"/>
    </row>
    <row r="526" spans="1:40" ht="15.75" thickBot="1" x14ac:dyDescent="0.3">
      <c r="A526" t="s">
        <v>501</v>
      </c>
      <c r="B526" t="s">
        <v>521</v>
      </c>
      <c r="C526" t="s">
        <v>1040</v>
      </c>
      <c r="D526" t="s">
        <v>1046</v>
      </c>
      <c r="E526" s="23" t="s">
        <v>18</v>
      </c>
      <c r="F526" s="23" t="s">
        <v>27</v>
      </c>
      <c r="G526" s="23"/>
      <c r="H526" s="23" t="s">
        <v>833</v>
      </c>
      <c r="I526" s="23"/>
      <c r="J526" s="63" t="s">
        <v>1982</v>
      </c>
      <c r="K526" s="63" t="s">
        <v>1982</v>
      </c>
      <c r="L526" s="24" t="e">
        <f t="shared" si="10"/>
        <v>#VALUE!</v>
      </c>
      <c r="M526" s="36"/>
      <c r="N526" s="36"/>
      <c r="O526" s="36"/>
      <c r="P526" s="36"/>
      <c r="Q526" s="36"/>
      <c r="R526" s="36"/>
      <c r="S526" s="36"/>
      <c r="T526" s="36"/>
      <c r="U526" s="36"/>
      <c r="V526" s="38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  <c r="AL526" s="36"/>
      <c r="AM526" s="36"/>
      <c r="AN526" s="36"/>
    </row>
    <row r="527" spans="1:40" ht="15.75" thickBot="1" x14ac:dyDescent="0.3">
      <c r="A527" t="s">
        <v>501</v>
      </c>
      <c r="B527" t="s">
        <v>522</v>
      </c>
      <c r="C527" t="s">
        <v>1039</v>
      </c>
      <c r="D527" t="s">
        <v>1045</v>
      </c>
      <c r="E527" s="23" t="s">
        <v>18</v>
      </c>
      <c r="F527" s="23" t="s">
        <v>2295</v>
      </c>
      <c r="G527" s="23"/>
      <c r="H527" s="23" t="s">
        <v>834</v>
      </c>
      <c r="I527" s="23"/>
      <c r="J527" s="63" t="s">
        <v>1983</v>
      </c>
      <c r="K527" s="63" t="s">
        <v>1983</v>
      </c>
      <c r="L527" s="24" t="e">
        <f t="shared" si="10"/>
        <v>#VALUE!</v>
      </c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  <c r="AL527" s="36"/>
      <c r="AM527" s="36"/>
      <c r="AN527" s="36"/>
    </row>
    <row r="528" spans="1:40" ht="15.75" thickBot="1" x14ac:dyDescent="0.3">
      <c r="A528" t="s">
        <v>501</v>
      </c>
      <c r="B528" s="39" t="s">
        <v>523</v>
      </c>
      <c r="C528" s="39" t="s">
        <v>1040</v>
      </c>
      <c r="D528" s="39" t="s">
        <v>524</v>
      </c>
      <c r="E528" s="67" t="s">
        <v>18</v>
      </c>
      <c r="F528" s="67" t="s">
        <v>1267</v>
      </c>
      <c r="G528" s="67"/>
      <c r="H528" s="67" t="s">
        <v>835</v>
      </c>
      <c r="I528" s="67"/>
      <c r="J528" s="63" t="s">
        <v>1984</v>
      </c>
      <c r="K528" s="63" t="s">
        <v>1984</v>
      </c>
      <c r="L528" s="24" t="e">
        <f t="shared" si="10"/>
        <v>#VALUE!</v>
      </c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  <c r="AL528" s="36"/>
      <c r="AM528" s="36"/>
      <c r="AN528" s="36"/>
    </row>
    <row r="529" spans="1:40" s="39" customFormat="1" ht="15.75" thickBot="1" x14ac:dyDescent="0.3">
      <c r="A529" s="39" t="s">
        <v>505</v>
      </c>
      <c r="B529" t="s">
        <v>525</v>
      </c>
      <c r="C529" t="s">
        <v>1040</v>
      </c>
      <c r="D529" t="s">
        <v>526</v>
      </c>
      <c r="E529" s="23" t="s">
        <v>18</v>
      </c>
      <c r="F529" s="23" t="s">
        <v>27</v>
      </c>
      <c r="G529" s="23"/>
      <c r="H529" s="23" t="s">
        <v>836</v>
      </c>
      <c r="I529" s="23"/>
      <c r="J529" s="63" t="s">
        <v>1985</v>
      </c>
      <c r="K529" s="63" t="s">
        <v>1985</v>
      </c>
      <c r="L529" s="62" t="e">
        <f t="shared" si="10"/>
        <v>#VALUE!</v>
      </c>
      <c r="M529" s="36" t="s">
        <v>2188</v>
      </c>
      <c r="N529" s="36" t="s">
        <v>2188</v>
      </c>
      <c r="O529" s="36" t="s">
        <v>2188</v>
      </c>
      <c r="P529" s="36" t="s">
        <v>2188</v>
      </c>
      <c r="Q529" s="36" t="s">
        <v>2188</v>
      </c>
      <c r="R529" s="36" t="s">
        <v>2188</v>
      </c>
      <c r="S529" s="36"/>
      <c r="T529" s="36"/>
      <c r="U529" s="36" t="s">
        <v>2188</v>
      </c>
      <c r="V529" s="36" t="s">
        <v>2188</v>
      </c>
      <c r="W529" s="36" t="s">
        <v>2188</v>
      </c>
      <c r="X529" s="36" t="s">
        <v>2188</v>
      </c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  <c r="AL529" s="36"/>
      <c r="AM529" s="36"/>
      <c r="AN529" s="36"/>
    </row>
    <row r="530" spans="1:40" ht="15.75" thickBot="1" x14ac:dyDescent="0.3">
      <c r="A530" t="s">
        <v>505</v>
      </c>
      <c r="B530" t="s">
        <v>528</v>
      </c>
      <c r="C530" t="s">
        <v>1040</v>
      </c>
      <c r="D530" t="s">
        <v>529</v>
      </c>
      <c r="E530" s="23" t="s">
        <v>18</v>
      </c>
      <c r="F530" s="67" t="s">
        <v>1267</v>
      </c>
      <c r="G530" s="23"/>
      <c r="H530" s="23" t="s">
        <v>838</v>
      </c>
      <c r="I530" s="23"/>
      <c r="J530" s="63" t="s">
        <v>1987</v>
      </c>
      <c r="K530" s="63" t="s">
        <v>1987</v>
      </c>
      <c r="L530" s="62" t="e">
        <f t="shared" si="10"/>
        <v>#VALUE!</v>
      </c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  <c r="AL530" s="36"/>
      <c r="AM530" s="36"/>
      <c r="AN530" s="36"/>
    </row>
    <row r="531" spans="1:40" s="39" customFormat="1" ht="15.75" thickBot="1" x14ac:dyDescent="0.3">
      <c r="A531" s="39" t="s">
        <v>505</v>
      </c>
      <c r="B531" t="s">
        <v>1017</v>
      </c>
      <c r="C531" t="s">
        <v>1040</v>
      </c>
      <c r="D531" t="s">
        <v>500</v>
      </c>
      <c r="E531" s="23" t="s">
        <v>15</v>
      </c>
      <c r="F531" s="23" t="s">
        <v>1033</v>
      </c>
      <c r="G531" s="23" t="s">
        <v>1226</v>
      </c>
      <c r="H531" s="23" t="s">
        <v>839</v>
      </c>
      <c r="I531" s="23"/>
      <c r="J531" s="63" t="s">
        <v>1988</v>
      </c>
      <c r="K531" s="63" t="s">
        <v>1988</v>
      </c>
      <c r="L531" s="62" t="e">
        <f t="shared" si="10"/>
        <v>#VALUE!</v>
      </c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  <c r="AL531" s="36"/>
      <c r="AM531" s="36"/>
      <c r="AN531" s="36"/>
    </row>
    <row r="532" spans="1:40" s="39" customFormat="1" ht="15.75" thickBot="1" x14ac:dyDescent="0.3">
      <c r="A532" s="39" t="s">
        <v>505</v>
      </c>
      <c r="B532" t="s">
        <v>1018</v>
      </c>
      <c r="C532" t="s">
        <v>1040</v>
      </c>
      <c r="D532" t="s">
        <v>502</v>
      </c>
      <c r="E532" s="23" t="s">
        <v>18</v>
      </c>
      <c r="F532" s="23" t="s">
        <v>2281</v>
      </c>
      <c r="G532" s="23"/>
      <c r="H532" s="23" t="s">
        <v>840</v>
      </c>
      <c r="I532" s="23"/>
      <c r="J532" s="63" t="s">
        <v>1989</v>
      </c>
      <c r="K532" s="63" t="s">
        <v>1989</v>
      </c>
      <c r="L532" s="62" t="e">
        <f t="shared" si="10"/>
        <v>#VALUE!</v>
      </c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  <c r="AL532" s="36"/>
      <c r="AM532" s="36"/>
      <c r="AN532" s="36"/>
    </row>
    <row r="533" spans="1:40" s="39" customFormat="1" ht="15.75" thickBot="1" x14ac:dyDescent="0.3">
      <c r="A533" s="39" t="s">
        <v>505</v>
      </c>
      <c r="B533" t="s">
        <v>1019</v>
      </c>
      <c r="C533" t="s">
        <v>1040</v>
      </c>
      <c r="D533" t="s">
        <v>509</v>
      </c>
      <c r="E533" s="23" t="s">
        <v>15</v>
      </c>
      <c r="F533" s="23" t="s">
        <v>1033</v>
      </c>
      <c r="G533" s="23" t="s">
        <v>1229</v>
      </c>
      <c r="H533" s="23" t="s">
        <v>845</v>
      </c>
      <c r="I533" s="23"/>
      <c r="J533" s="63" t="s">
        <v>1994</v>
      </c>
      <c r="K533" s="63" t="s">
        <v>1994</v>
      </c>
      <c r="L533" s="62" t="e">
        <f t="shared" si="10"/>
        <v>#VALUE!</v>
      </c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  <c r="AL533" s="36"/>
      <c r="AM533" s="36"/>
      <c r="AN533" s="36"/>
    </row>
    <row r="534" spans="1:40" s="39" customFormat="1" ht="15.75" thickBot="1" x14ac:dyDescent="0.3">
      <c r="A534" s="39" t="s">
        <v>505</v>
      </c>
      <c r="B534" t="s">
        <v>1020</v>
      </c>
      <c r="C534" t="s">
        <v>1040</v>
      </c>
      <c r="D534" t="s">
        <v>510</v>
      </c>
      <c r="E534" s="23" t="s">
        <v>15</v>
      </c>
      <c r="F534" s="23" t="s">
        <v>19</v>
      </c>
      <c r="G534" s="23"/>
      <c r="H534" s="23" t="s">
        <v>846</v>
      </c>
      <c r="I534" s="23"/>
      <c r="J534" s="63" t="s">
        <v>2365</v>
      </c>
      <c r="K534" s="63" t="s">
        <v>2365</v>
      </c>
      <c r="L534" s="62" t="e">
        <f t="shared" si="10"/>
        <v>#VALUE!</v>
      </c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  <c r="AL534" s="36"/>
      <c r="AM534" s="36"/>
      <c r="AN534" s="36"/>
    </row>
    <row r="535" spans="1:40" ht="15.75" thickBot="1" x14ac:dyDescent="0.3">
      <c r="A535" t="s">
        <v>396</v>
      </c>
      <c r="B535" t="s">
        <v>532</v>
      </c>
      <c r="C535" t="s">
        <v>1039</v>
      </c>
      <c r="D535" t="s">
        <v>533</v>
      </c>
      <c r="E535" s="23" t="s">
        <v>71</v>
      </c>
      <c r="F535" s="23" t="s">
        <v>2295</v>
      </c>
      <c r="G535" s="23"/>
      <c r="H535" s="23" t="s">
        <v>657</v>
      </c>
      <c r="I535" s="23"/>
      <c r="J535" s="63" t="s">
        <v>1998</v>
      </c>
      <c r="K535" s="63" t="s">
        <v>1998</v>
      </c>
      <c r="L535" s="24" t="e">
        <f t="shared" si="10"/>
        <v>#VALUE!</v>
      </c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  <c r="AL535" s="36"/>
      <c r="AM535" s="36"/>
      <c r="AN535" s="36"/>
    </row>
    <row r="536" spans="1:40" ht="15.75" thickBot="1" x14ac:dyDescent="0.3">
      <c r="A536" t="s">
        <v>281</v>
      </c>
      <c r="B536" t="s">
        <v>534</v>
      </c>
      <c r="C536" t="s">
        <v>1039</v>
      </c>
      <c r="D536" t="s">
        <v>533</v>
      </c>
      <c r="E536" s="23" t="s">
        <v>71</v>
      </c>
      <c r="F536" s="23" t="s">
        <v>2295</v>
      </c>
      <c r="G536" s="23"/>
      <c r="H536" s="23" t="s">
        <v>849</v>
      </c>
      <c r="I536" s="23"/>
      <c r="J536" s="63" t="s">
        <v>1999</v>
      </c>
      <c r="K536" s="63" t="s">
        <v>1999</v>
      </c>
      <c r="L536" s="24" t="e">
        <f t="shared" si="10"/>
        <v>#VALUE!</v>
      </c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  <c r="AL536" s="36"/>
      <c r="AM536" s="36"/>
      <c r="AN536" s="36"/>
    </row>
    <row r="537" spans="1:40" ht="15.75" thickBot="1" x14ac:dyDescent="0.3">
      <c r="A537" t="s">
        <v>396</v>
      </c>
      <c r="B537" s="67" t="s">
        <v>1520</v>
      </c>
      <c r="C537" s="67" t="s">
        <v>1040</v>
      </c>
      <c r="D537" s="39" t="s">
        <v>1521</v>
      </c>
      <c r="E537" s="67" t="s">
        <v>15</v>
      </c>
      <c r="F537" s="67" t="s">
        <v>1267</v>
      </c>
      <c r="G537" s="67"/>
      <c r="H537" s="67" t="s">
        <v>1522</v>
      </c>
      <c r="I537" s="67"/>
      <c r="J537" s="63" t="s">
        <v>2005</v>
      </c>
      <c r="K537" s="63" t="s">
        <v>2005</v>
      </c>
      <c r="L537" s="24" t="e">
        <f t="shared" si="10"/>
        <v>#VALUE!</v>
      </c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  <c r="AL537" s="36"/>
      <c r="AM537" s="36"/>
      <c r="AN537" s="36"/>
    </row>
    <row r="538" spans="1:40" ht="15.75" thickBot="1" x14ac:dyDescent="0.3">
      <c r="A538" t="s">
        <v>396</v>
      </c>
      <c r="B538" s="67" t="s">
        <v>2137</v>
      </c>
      <c r="C538" s="67" t="s">
        <v>1040</v>
      </c>
      <c r="D538" s="39" t="s">
        <v>2138</v>
      </c>
      <c r="E538" s="23" t="s">
        <v>71</v>
      </c>
      <c r="F538" s="67" t="s">
        <v>1267</v>
      </c>
      <c r="G538" s="67"/>
      <c r="H538" s="67" t="s">
        <v>2267</v>
      </c>
      <c r="I538" s="67"/>
      <c r="J538" s="63" t="s">
        <v>2139</v>
      </c>
      <c r="K538" s="63" t="s">
        <v>2139</v>
      </c>
      <c r="L538" s="24" t="e">
        <f t="shared" si="10"/>
        <v>#VALUE!</v>
      </c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  <c r="AL538" s="36"/>
      <c r="AM538" s="36"/>
      <c r="AN538" s="36"/>
    </row>
    <row r="539" spans="1:40" ht="15.75" thickBot="1" x14ac:dyDescent="0.3">
      <c r="A539" t="s">
        <v>396</v>
      </c>
      <c r="B539" s="67" t="s">
        <v>2140</v>
      </c>
      <c r="C539" s="67" t="s">
        <v>1040</v>
      </c>
      <c r="D539" s="39" t="s">
        <v>2141</v>
      </c>
      <c r="E539" s="67" t="s">
        <v>15</v>
      </c>
      <c r="F539" s="67" t="s">
        <v>1267</v>
      </c>
      <c r="G539" s="67"/>
      <c r="H539" s="67" t="s">
        <v>2268</v>
      </c>
      <c r="I539" s="67"/>
      <c r="J539" s="63" t="s">
        <v>2142</v>
      </c>
      <c r="K539" s="63" t="s">
        <v>2142</v>
      </c>
      <c r="L539" s="24" t="e">
        <f t="shared" si="10"/>
        <v>#VALUE!</v>
      </c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  <c r="AL539" s="36"/>
      <c r="AM539" s="36"/>
      <c r="AN539" s="36"/>
    </row>
    <row r="540" spans="1:40" ht="15.75" thickBot="1" x14ac:dyDescent="0.3">
      <c r="A540" t="s">
        <v>396</v>
      </c>
      <c r="B540" t="s">
        <v>1021</v>
      </c>
      <c r="C540" t="s">
        <v>1039</v>
      </c>
      <c r="D540" t="s">
        <v>537</v>
      </c>
      <c r="E540" s="23" t="s">
        <v>18</v>
      </c>
      <c r="F540" s="23" t="s">
        <v>27</v>
      </c>
      <c r="G540" s="23"/>
      <c r="H540" s="23" t="s">
        <v>852</v>
      </c>
      <c r="I540" s="23" t="s">
        <v>2275</v>
      </c>
      <c r="J540" s="63" t="s">
        <v>2006</v>
      </c>
      <c r="K540" s="63" t="s">
        <v>2006</v>
      </c>
      <c r="L540" s="24" t="e">
        <f t="shared" si="10"/>
        <v>#VALUE!</v>
      </c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  <c r="AL540" s="36"/>
      <c r="AM540" s="36"/>
      <c r="AN540" s="36"/>
    </row>
    <row r="541" spans="1:40" s="44" customFormat="1" ht="15.75" thickBot="1" x14ac:dyDescent="0.3">
      <c r="A541" s="39" t="s">
        <v>396</v>
      </c>
      <c r="B541" t="s">
        <v>1022</v>
      </c>
      <c r="C541" t="s">
        <v>1039</v>
      </c>
      <c r="D541" t="s">
        <v>538</v>
      </c>
      <c r="E541" s="23" t="s">
        <v>18</v>
      </c>
      <c r="F541" s="23" t="s">
        <v>27</v>
      </c>
      <c r="G541" s="23"/>
      <c r="H541" s="23" t="s">
        <v>853</v>
      </c>
      <c r="I541" s="23" t="s">
        <v>2275</v>
      </c>
      <c r="J541" s="63" t="s">
        <v>2007</v>
      </c>
      <c r="K541" s="63" t="s">
        <v>2007</v>
      </c>
      <c r="L541" s="24" t="e">
        <f t="shared" si="10"/>
        <v>#VALUE!</v>
      </c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  <c r="AL541" s="36"/>
      <c r="AM541" s="36"/>
      <c r="AN541" s="36"/>
    </row>
    <row r="542" spans="1:40" s="44" customFormat="1" ht="15.75" thickBot="1" x14ac:dyDescent="0.3">
      <c r="A542" s="39" t="s">
        <v>396</v>
      </c>
      <c r="B542" s="39" t="s">
        <v>535</v>
      </c>
      <c r="C542" s="44" t="s">
        <v>1039</v>
      </c>
      <c r="D542" s="39" t="s">
        <v>536</v>
      </c>
      <c r="E542" s="68" t="s">
        <v>18</v>
      </c>
      <c r="F542" s="67" t="s">
        <v>27</v>
      </c>
      <c r="G542" s="67"/>
      <c r="H542" s="67" t="s">
        <v>856</v>
      </c>
      <c r="I542" s="67" t="s">
        <v>2275</v>
      </c>
      <c r="J542" s="63"/>
      <c r="K542" s="63"/>
      <c r="L542" s="24" t="e">
        <f t="shared" si="10"/>
        <v>#VALUE!</v>
      </c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  <c r="AL542" s="36"/>
      <c r="AM542" s="36"/>
      <c r="AN542" s="36"/>
    </row>
    <row r="543" spans="1:40" s="39" customFormat="1" ht="15.75" thickBot="1" x14ac:dyDescent="0.3">
      <c r="A543" s="39" t="s">
        <v>470</v>
      </c>
      <c r="B543" t="s">
        <v>539</v>
      </c>
      <c r="C543" t="s">
        <v>1039</v>
      </c>
      <c r="D543" t="s">
        <v>540</v>
      </c>
      <c r="E543" s="23" t="s">
        <v>71</v>
      </c>
      <c r="F543" s="23" t="s">
        <v>27</v>
      </c>
      <c r="G543" s="23"/>
      <c r="H543" s="23" t="s">
        <v>850</v>
      </c>
      <c r="I543" s="23" t="s">
        <v>2275</v>
      </c>
      <c r="J543" s="63" t="s">
        <v>2008</v>
      </c>
      <c r="K543" s="63" t="s">
        <v>2008</v>
      </c>
      <c r="L543" s="62" t="e">
        <f t="shared" si="10"/>
        <v>#VALUE!</v>
      </c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  <c r="AL543" s="36"/>
      <c r="AM543" s="36"/>
      <c r="AN543" s="36"/>
    </row>
    <row r="544" spans="1:40" ht="15.75" thickBot="1" x14ac:dyDescent="0.3">
      <c r="A544" t="s">
        <v>470</v>
      </c>
      <c r="B544" t="s">
        <v>541</v>
      </c>
      <c r="C544" t="s">
        <v>1039</v>
      </c>
      <c r="D544" t="s">
        <v>540</v>
      </c>
      <c r="E544" s="23" t="s">
        <v>71</v>
      </c>
      <c r="F544" s="23" t="s">
        <v>27</v>
      </c>
      <c r="G544" s="23"/>
      <c r="H544" s="23" t="s">
        <v>851</v>
      </c>
      <c r="I544" s="23" t="s">
        <v>2275</v>
      </c>
      <c r="J544" s="63" t="s">
        <v>2009</v>
      </c>
      <c r="K544" s="63" t="s">
        <v>2009</v>
      </c>
      <c r="L544" s="24" t="e">
        <f t="shared" si="10"/>
        <v>#VALUE!</v>
      </c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  <c r="AL544" s="36"/>
      <c r="AM544" s="36"/>
      <c r="AN544" s="36"/>
    </row>
    <row r="545" spans="1:40" s="39" customFormat="1" ht="15.75" thickBot="1" x14ac:dyDescent="0.3">
      <c r="A545" s="39" t="s">
        <v>470</v>
      </c>
      <c r="B545" t="s">
        <v>542</v>
      </c>
      <c r="C545" t="s">
        <v>1039</v>
      </c>
      <c r="D545" t="s">
        <v>543</v>
      </c>
      <c r="E545" s="23" t="s">
        <v>71</v>
      </c>
      <c r="F545" s="23" t="s">
        <v>27</v>
      </c>
      <c r="G545" s="23"/>
      <c r="H545" s="23" t="s">
        <v>854</v>
      </c>
      <c r="I545" s="23" t="s">
        <v>2275</v>
      </c>
      <c r="J545" s="63" t="s">
        <v>2010</v>
      </c>
      <c r="K545" s="63" t="s">
        <v>2010</v>
      </c>
      <c r="L545" s="62" t="e">
        <f t="shared" ref="L545:L591" si="11">(I545)/(K545+I545)</f>
        <v>#VALUE!</v>
      </c>
      <c r="M545" s="36"/>
      <c r="N545" s="36"/>
      <c r="O545" s="36"/>
      <c r="P545" s="36"/>
      <c r="Q545" s="36"/>
      <c r="R545" s="36" t="s">
        <v>2188</v>
      </c>
      <c r="S545" s="36"/>
      <c r="T545" s="36"/>
      <c r="U545" s="36" t="s">
        <v>2188</v>
      </c>
      <c r="V545" s="36" t="s">
        <v>2188</v>
      </c>
      <c r="W545" s="36" t="s">
        <v>2188</v>
      </c>
      <c r="X545" s="36" t="s">
        <v>2188</v>
      </c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  <c r="AL545" s="36"/>
      <c r="AM545" s="36"/>
      <c r="AN545" s="36"/>
    </row>
    <row r="546" spans="1:40" s="39" customFormat="1" ht="15.75" thickBot="1" x14ac:dyDescent="0.3">
      <c r="A546" s="39" t="s">
        <v>470</v>
      </c>
      <c r="B546" t="s">
        <v>544</v>
      </c>
      <c r="C546" t="s">
        <v>1039</v>
      </c>
      <c r="D546" t="s">
        <v>543</v>
      </c>
      <c r="E546" s="23" t="s">
        <v>71</v>
      </c>
      <c r="F546" s="23" t="s">
        <v>27</v>
      </c>
      <c r="G546" s="23"/>
      <c r="H546" s="23" t="s">
        <v>855</v>
      </c>
      <c r="I546" s="23" t="s">
        <v>2275</v>
      </c>
      <c r="J546" s="63" t="s">
        <v>2011</v>
      </c>
      <c r="K546" s="63" t="s">
        <v>2011</v>
      </c>
      <c r="L546" s="62" t="e">
        <f t="shared" si="11"/>
        <v>#VALUE!</v>
      </c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  <c r="AL546" s="36"/>
      <c r="AM546" s="36"/>
      <c r="AN546" s="36"/>
    </row>
    <row r="547" spans="1:40" ht="15.75" thickBot="1" x14ac:dyDescent="0.3">
      <c r="A547" t="s">
        <v>470</v>
      </c>
      <c r="B547" s="39" t="s">
        <v>545</v>
      </c>
      <c r="C547" s="44" t="s">
        <v>1039</v>
      </c>
      <c r="D547" s="39" t="s">
        <v>546</v>
      </c>
      <c r="E547" s="68" t="s">
        <v>15</v>
      </c>
      <c r="F547" s="67" t="s">
        <v>27</v>
      </c>
      <c r="G547" s="67"/>
      <c r="H547" s="67" t="s">
        <v>1442</v>
      </c>
      <c r="I547" s="67" t="s">
        <v>2275</v>
      </c>
      <c r="J547" s="63" t="s">
        <v>2012</v>
      </c>
      <c r="K547" s="63" t="s">
        <v>2012</v>
      </c>
      <c r="L547" s="24" t="e">
        <f t="shared" si="11"/>
        <v>#VALUE!</v>
      </c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  <c r="AL547" s="36"/>
      <c r="AM547" s="36"/>
      <c r="AN547" s="36"/>
    </row>
    <row r="548" spans="1:40" s="39" customFormat="1" ht="15.75" thickBot="1" x14ac:dyDescent="0.3">
      <c r="A548" s="39" t="s">
        <v>466</v>
      </c>
      <c r="B548" s="23" t="s">
        <v>2097</v>
      </c>
      <c r="C548" s="39" t="s">
        <v>1039</v>
      </c>
      <c r="D548" t="s">
        <v>2098</v>
      </c>
      <c r="E548" s="67" t="s">
        <v>45</v>
      </c>
      <c r="F548" s="23" t="s">
        <v>2295</v>
      </c>
      <c r="G548" s="23"/>
      <c r="H548" s="23" t="s">
        <v>2099</v>
      </c>
      <c r="I548" s="23" t="s">
        <v>2275</v>
      </c>
      <c r="J548" s="63" t="s">
        <v>2100</v>
      </c>
      <c r="K548" s="63" t="s">
        <v>2100</v>
      </c>
      <c r="L548" s="62" t="e">
        <f t="shared" si="11"/>
        <v>#VALUE!</v>
      </c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  <c r="AL548" s="36"/>
      <c r="AM548" s="36"/>
      <c r="AN548" s="36"/>
    </row>
    <row r="549" spans="1:40" ht="15.75" thickBot="1" x14ac:dyDescent="0.3">
      <c r="A549" t="s">
        <v>466</v>
      </c>
      <c r="B549" s="39" t="s">
        <v>1300</v>
      </c>
      <c r="C549" s="67" t="s">
        <v>1039</v>
      </c>
      <c r="D549" s="39" t="s">
        <v>1301</v>
      </c>
      <c r="E549" s="68" t="s">
        <v>15</v>
      </c>
      <c r="F549" s="67" t="s">
        <v>1267</v>
      </c>
      <c r="G549" s="67"/>
      <c r="H549" s="67" t="s">
        <v>1306</v>
      </c>
      <c r="I549" s="67"/>
      <c r="J549" s="63" t="s">
        <v>2013</v>
      </c>
      <c r="K549" s="63" t="s">
        <v>2013</v>
      </c>
      <c r="L549" s="24" t="e">
        <f t="shared" si="11"/>
        <v>#VALUE!</v>
      </c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  <c r="AL549" s="36"/>
      <c r="AM549" s="36"/>
      <c r="AN549" s="36"/>
    </row>
    <row r="550" spans="1:40" ht="15.75" thickBot="1" x14ac:dyDescent="0.3">
      <c r="A550" t="s">
        <v>470</v>
      </c>
      <c r="B550" t="s">
        <v>547</v>
      </c>
      <c r="C550" t="s">
        <v>1039</v>
      </c>
      <c r="D550" t="s">
        <v>548</v>
      </c>
      <c r="E550" s="23" t="s">
        <v>18</v>
      </c>
      <c r="F550" s="23" t="s">
        <v>27</v>
      </c>
      <c r="G550" s="23"/>
      <c r="H550" s="23" t="s">
        <v>857</v>
      </c>
      <c r="I550" s="23"/>
      <c r="J550" s="63" t="s">
        <v>2014</v>
      </c>
      <c r="K550" s="63" t="s">
        <v>2014</v>
      </c>
      <c r="L550" s="24" t="e">
        <f t="shared" si="11"/>
        <v>#VALUE!</v>
      </c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  <c r="AL550" s="36"/>
      <c r="AM550" s="36"/>
      <c r="AN550" s="36"/>
    </row>
    <row r="551" spans="1:40" s="39" customFormat="1" ht="15.75" thickBot="1" x14ac:dyDescent="0.3">
      <c r="A551" s="39" t="s">
        <v>557</v>
      </c>
      <c r="B551" s="39" t="s">
        <v>549</v>
      </c>
      <c r="C551" s="39" t="s">
        <v>1039</v>
      </c>
      <c r="D551" s="39" t="s">
        <v>550</v>
      </c>
      <c r="E551" s="67" t="s">
        <v>18</v>
      </c>
      <c r="F551" s="67" t="s">
        <v>1267</v>
      </c>
      <c r="G551" s="67"/>
      <c r="H551" s="67" t="s">
        <v>1324</v>
      </c>
      <c r="I551" s="67"/>
      <c r="J551" s="63" t="s">
        <v>2015</v>
      </c>
      <c r="K551" s="63" t="s">
        <v>2015</v>
      </c>
      <c r="L551" s="62" t="e">
        <f t="shared" si="11"/>
        <v>#VALUE!</v>
      </c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  <c r="AL551" s="36"/>
      <c r="AM551" s="36"/>
      <c r="AN551" s="36"/>
    </row>
    <row r="552" spans="1:40" s="39" customFormat="1" ht="15.75" thickBot="1" x14ac:dyDescent="0.3">
      <c r="A552" s="39" t="s">
        <v>557</v>
      </c>
      <c r="B552" s="39" t="s">
        <v>551</v>
      </c>
      <c r="C552" s="39" t="s">
        <v>1039</v>
      </c>
      <c r="D552" s="39" t="s">
        <v>552</v>
      </c>
      <c r="E552" s="67" t="s">
        <v>18</v>
      </c>
      <c r="F552" s="67" t="s">
        <v>1267</v>
      </c>
      <c r="G552" s="67"/>
      <c r="H552" s="67" t="s">
        <v>1382</v>
      </c>
      <c r="I552" s="67"/>
      <c r="J552" s="63" t="s">
        <v>2016</v>
      </c>
      <c r="K552" s="63" t="s">
        <v>2016</v>
      </c>
      <c r="L552" s="62" t="e">
        <f t="shared" si="11"/>
        <v>#VALUE!</v>
      </c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  <c r="AL552" s="36"/>
      <c r="AM552" s="36"/>
      <c r="AN552" s="36"/>
    </row>
    <row r="553" spans="1:40" s="39" customFormat="1" ht="15.75" thickBot="1" x14ac:dyDescent="0.3">
      <c r="A553" s="39" t="s">
        <v>557</v>
      </c>
      <c r="B553" t="s">
        <v>553</v>
      </c>
      <c r="C553" t="s">
        <v>1039</v>
      </c>
      <c r="D553" t="s">
        <v>554</v>
      </c>
      <c r="E553" s="23" t="s">
        <v>18</v>
      </c>
      <c r="F553" s="23" t="s">
        <v>1033</v>
      </c>
      <c r="G553" s="23" t="s">
        <v>1230</v>
      </c>
      <c r="H553" s="23" t="s">
        <v>858</v>
      </c>
      <c r="I553" s="23"/>
      <c r="J553" s="63" t="s">
        <v>2017</v>
      </c>
      <c r="K553" s="63" t="s">
        <v>2017</v>
      </c>
      <c r="L553" s="62" t="e">
        <f t="shared" si="11"/>
        <v>#VALUE!</v>
      </c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  <c r="AL553" s="36"/>
      <c r="AM553" s="36"/>
      <c r="AN553" s="36"/>
    </row>
    <row r="554" spans="1:40" s="39" customFormat="1" ht="15.75" thickBot="1" x14ac:dyDescent="0.3">
      <c r="A554" s="39" t="s">
        <v>557</v>
      </c>
      <c r="B554" s="39" t="s">
        <v>555</v>
      </c>
      <c r="C554" s="39" t="s">
        <v>1039</v>
      </c>
      <c r="D554" s="39" t="s">
        <v>556</v>
      </c>
      <c r="E554" s="67" t="s">
        <v>18</v>
      </c>
      <c r="F554" s="67" t="s">
        <v>1267</v>
      </c>
      <c r="G554" s="67"/>
      <c r="H554" s="67" t="s">
        <v>1441</v>
      </c>
      <c r="I554" s="67"/>
      <c r="J554" s="63" t="s">
        <v>2018</v>
      </c>
      <c r="K554" s="63" t="s">
        <v>2018</v>
      </c>
      <c r="L554" s="62" t="e">
        <f t="shared" si="11"/>
        <v>#VALUE!</v>
      </c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  <c r="AK554" s="36"/>
      <c r="AL554" s="36"/>
      <c r="AM554" s="36"/>
      <c r="AN554" s="36"/>
    </row>
    <row r="555" spans="1:40" s="39" customFormat="1" ht="15.75" thickBot="1" x14ac:dyDescent="0.3">
      <c r="A555" s="39" t="s">
        <v>557</v>
      </c>
      <c r="B555" t="s">
        <v>1271</v>
      </c>
      <c r="C555" t="s">
        <v>1039</v>
      </c>
      <c r="D555" t="s">
        <v>2114</v>
      </c>
      <c r="E555" s="67" t="s">
        <v>15</v>
      </c>
      <c r="F555" s="67" t="s">
        <v>1267</v>
      </c>
      <c r="G555" s="23"/>
      <c r="H555" s="23" t="s">
        <v>2269</v>
      </c>
      <c r="I555" s="23"/>
      <c r="J555" s="63" t="s">
        <v>2115</v>
      </c>
      <c r="K555" s="63" t="s">
        <v>2115</v>
      </c>
      <c r="L555" s="62" t="e">
        <f t="shared" si="11"/>
        <v>#VALUE!</v>
      </c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  <c r="AK555" s="36"/>
      <c r="AL555" s="36"/>
      <c r="AM555" s="36"/>
      <c r="AN555" s="36"/>
    </row>
    <row r="556" spans="1:40" s="39" customFormat="1" ht="15.75" thickBot="1" x14ac:dyDescent="0.3">
      <c r="A556" s="39" t="s">
        <v>557</v>
      </c>
      <c r="B556" t="s">
        <v>2056</v>
      </c>
      <c r="C556" t="s">
        <v>1039</v>
      </c>
      <c r="D556" s="39" t="s">
        <v>2057</v>
      </c>
      <c r="E556" s="67" t="s">
        <v>15</v>
      </c>
      <c r="F556" s="67" t="s">
        <v>1267</v>
      </c>
      <c r="G556" s="23"/>
      <c r="H556" s="23" t="s">
        <v>2270</v>
      </c>
      <c r="I556" s="23"/>
      <c r="J556" s="63" t="s">
        <v>2058</v>
      </c>
      <c r="K556" s="63" t="s">
        <v>2058</v>
      </c>
      <c r="L556" s="62" t="e">
        <f t="shared" si="11"/>
        <v>#VALUE!</v>
      </c>
      <c r="M556" s="36" t="s">
        <v>2188</v>
      </c>
      <c r="N556" s="36" t="s">
        <v>2188</v>
      </c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  <c r="AK556" s="36"/>
      <c r="AL556" s="36"/>
      <c r="AM556" s="36"/>
      <c r="AN556" s="36"/>
    </row>
    <row r="557" spans="1:40" s="39" customFormat="1" ht="15.75" thickBot="1" x14ac:dyDescent="0.3">
      <c r="A557" s="39" t="s">
        <v>557</v>
      </c>
      <c r="B557" s="39" t="s">
        <v>2059</v>
      </c>
      <c r="C557" t="s">
        <v>1039</v>
      </c>
      <c r="D557" s="39" t="s">
        <v>2060</v>
      </c>
      <c r="E557" s="67" t="s">
        <v>15</v>
      </c>
      <c r="F557" s="67" t="s">
        <v>1267</v>
      </c>
      <c r="G557" s="67"/>
      <c r="H557" s="67" t="s">
        <v>2271</v>
      </c>
      <c r="I557" s="67"/>
      <c r="J557" s="63" t="s">
        <v>2062</v>
      </c>
      <c r="K557" s="63" t="s">
        <v>2062</v>
      </c>
      <c r="L557" s="62" t="e">
        <f t="shared" si="11"/>
        <v>#VALUE!</v>
      </c>
      <c r="M557" s="36" t="s">
        <v>2188</v>
      </c>
      <c r="N557" s="36" t="s">
        <v>2188</v>
      </c>
      <c r="O557" s="36"/>
      <c r="P557" s="36" t="s">
        <v>2188</v>
      </c>
      <c r="Q557" s="36" t="s">
        <v>2188</v>
      </c>
      <c r="R557" s="36" t="s">
        <v>2188</v>
      </c>
      <c r="S557" s="36"/>
      <c r="T557" s="36"/>
      <c r="U557" s="36" t="s">
        <v>2188</v>
      </c>
      <c r="V557" s="36" t="s">
        <v>2188</v>
      </c>
      <c r="W557" s="36" t="s">
        <v>2188</v>
      </c>
      <c r="X557" s="36" t="s">
        <v>2188</v>
      </c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  <c r="AK557" s="36"/>
      <c r="AL557" s="36"/>
      <c r="AM557" s="36"/>
      <c r="AN557" s="36"/>
    </row>
    <row r="558" spans="1:40" ht="15.75" thickBot="1" x14ac:dyDescent="0.3">
      <c r="A558" t="s">
        <v>562</v>
      </c>
      <c r="B558" s="39" t="s">
        <v>558</v>
      </c>
      <c r="C558" s="39" t="s">
        <v>1040</v>
      </c>
      <c r="D558" s="39" t="s">
        <v>559</v>
      </c>
      <c r="E558" s="67" t="s">
        <v>15</v>
      </c>
      <c r="F558" s="67" t="s">
        <v>1267</v>
      </c>
      <c r="G558" s="67"/>
      <c r="H558" s="67" t="s">
        <v>859</v>
      </c>
      <c r="I558" s="67"/>
      <c r="J558" s="63" t="s">
        <v>2019</v>
      </c>
      <c r="K558" s="63" t="s">
        <v>2019</v>
      </c>
      <c r="L558" s="24" t="e">
        <f t="shared" si="11"/>
        <v>#VALUE!</v>
      </c>
      <c r="M558" s="36" t="s">
        <v>2188</v>
      </c>
      <c r="N558" s="36" t="s">
        <v>2188</v>
      </c>
      <c r="O558" s="36" t="s">
        <v>2188</v>
      </c>
      <c r="P558" s="36" t="s">
        <v>2188</v>
      </c>
      <c r="Q558" s="36" t="s">
        <v>2188</v>
      </c>
      <c r="R558" s="36" t="s">
        <v>2188</v>
      </c>
      <c r="S558" s="36"/>
      <c r="T558" s="36"/>
      <c r="U558" s="36" t="s">
        <v>2188</v>
      </c>
      <c r="V558" s="36" t="s">
        <v>2188</v>
      </c>
      <c r="W558" s="36" t="s">
        <v>2188</v>
      </c>
      <c r="X558" s="36" t="s">
        <v>2188</v>
      </c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  <c r="AK558" s="36"/>
      <c r="AL558" s="36"/>
      <c r="AM558" s="36"/>
      <c r="AN558" s="36"/>
    </row>
    <row r="559" spans="1:40" ht="15.75" thickBot="1" x14ac:dyDescent="0.3">
      <c r="A559" t="s">
        <v>562</v>
      </c>
      <c r="B559" s="39" t="s">
        <v>1412</v>
      </c>
      <c r="C559" s="39" t="s">
        <v>1040</v>
      </c>
      <c r="D559" s="39" t="s">
        <v>560</v>
      </c>
      <c r="E559" s="67" t="s">
        <v>15</v>
      </c>
      <c r="F559" s="67" t="s">
        <v>1267</v>
      </c>
      <c r="G559" s="67"/>
      <c r="H559" s="67" t="s">
        <v>860</v>
      </c>
      <c r="I559" s="67"/>
      <c r="J559" s="63" t="s">
        <v>2020</v>
      </c>
      <c r="K559" s="63" t="s">
        <v>2020</v>
      </c>
      <c r="L559" s="24" t="e">
        <f t="shared" si="11"/>
        <v>#VALUE!</v>
      </c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  <c r="AK559" s="36"/>
      <c r="AL559" s="36"/>
      <c r="AM559" s="36"/>
      <c r="AN559" s="36"/>
    </row>
    <row r="560" spans="1:40" ht="15.75" thickBot="1" x14ac:dyDescent="0.3">
      <c r="A560" t="s">
        <v>562</v>
      </c>
      <c r="B560" s="39" t="s">
        <v>1023</v>
      </c>
      <c r="C560" s="39" t="s">
        <v>1040</v>
      </c>
      <c r="D560" s="39" t="s">
        <v>561</v>
      </c>
      <c r="E560" s="67" t="s">
        <v>71</v>
      </c>
      <c r="F560" s="67" t="s">
        <v>1267</v>
      </c>
      <c r="G560" s="67"/>
      <c r="H560" s="67" t="s">
        <v>861</v>
      </c>
      <c r="I560" s="67"/>
      <c r="J560" s="63" t="s">
        <v>2021</v>
      </c>
      <c r="K560" s="63" t="s">
        <v>2021</v>
      </c>
      <c r="L560" s="24" t="e">
        <f t="shared" si="11"/>
        <v>#VALUE!</v>
      </c>
      <c r="M560" s="36" t="s">
        <v>2188</v>
      </c>
      <c r="N560" s="36" t="s">
        <v>2188</v>
      </c>
      <c r="O560" s="36" t="s">
        <v>2188</v>
      </c>
      <c r="P560" s="36" t="s">
        <v>2188</v>
      </c>
      <c r="Q560" s="36" t="s">
        <v>2188</v>
      </c>
      <c r="R560" s="36" t="s">
        <v>2188</v>
      </c>
      <c r="S560" s="36"/>
      <c r="T560" s="36"/>
      <c r="U560" s="36" t="s">
        <v>2188</v>
      </c>
      <c r="V560" s="36" t="s">
        <v>2188</v>
      </c>
      <c r="W560" s="36" t="s">
        <v>2188</v>
      </c>
      <c r="X560" s="36" t="s">
        <v>2188</v>
      </c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  <c r="AL560" s="36"/>
      <c r="AM560" s="36"/>
      <c r="AN560" s="36"/>
    </row>
    <row r="561" spans="1:40" ht="15.75" thickBot="1" x14ac:dyDescent="0.3">
      <c r="A561" t="s">
        <v>562</v>
      </c>
      <c r="B561" s="39" t="s">
        <v>1024</v>
      </c>
      <c r="C561" s="39" t="s">
        <v>1040</v>
      </c>
      <c r="D561" s="39" t="s">
        <v>561</v>
      </c>
      <c r="E561" s="67" t="s">
        <v>71</v>
      </c>
      <c r="F561" s="67" t="s">
        <v>1267</v>
      </c>
      <c r="G561" s="67"/>
      <c r="H561" s="67" t="s">
        <v>862</v>
      </c>
      <c r="I561" s="67"/>
      <c r="J561" s="63" t="s">
        <v>2022</v>
      </c>
      <c r="K561" s="63" t="s">
        <v>2022</v>
      </c>
      <c r="L561" s="24" t="e">
        <f t="shared" si="11"/>
        <v>#VALUE!</v>
      </c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  <c r="AL561" s="36"/>
      <c r="AM561" s="36"/>
      <c r="AN561" s="36"/>
    </row>
    <row r="562" spans="1:40" s="39" customFormat="1" ht="15.75" thickBot="1" x14ac:dyDescent="0.3">
      <c r="A562" s="39" t="s">
        <v>562</v>
      </c>
      <c r="B562" s="39" t="s">
        <v>1573</v>
      </c>
      <c r="C562" s="39" t="s">
        <v>1040</v>
      </c>
      <c r="D562" s="39" t="s">
        <v>1580</v>
      </c>
      <c r="E562" s="67" t="s">
        <v>1086</v>
      </c>
      <c r="F562" s="67" t="s">
        <v>1267</v>
      </c>
      <c r="G562" s="67"/>
      <c r="H562" s="67" t="s">
        <v>1575</v>
      </c>
      <c r="I562" s="67"/>
      <c r="J562" s="63" t="s">
        <v>2104</v>
      </c>
      <c r="K562" s="63" t="s">
        <v>2104</v>
      </c>
      <c r="L562" s="62" t="e">
        <f t="shared" si="11"/>
        <v>#VALUE!</v>
      </c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  <c r="AL562" s="36"/>
      <c r="AM562" s="36"/>
      <c r="AN562" s="36"/>
    </row>
    <row r="563" spans="1:40" s="39" customFormat="1" ht="15.75" thickBot="1" x14ac:dyDescent="0.3">
      <c r="A563" s="39" t="s">
        <v>2061</v>
      </c>
      <c r="B563" s="39" t="s">
        <v>2050</v>
      </c>
      <c r="C563" s="39" t="s">
        <v>1040</v>
      </c>
      <c r="D563" s="39" t="s">
        <v>2051</v>
      </c>
      <c r="E563" s="23" t="s">
        <v>15</v>
      </c>
      <c r="F563" s="67" t="s">
        <v>1267</v>
      </c>
      <c r="G563" s="67"/>
      <c r="H563" s="67" t="s">
        <v>2053</v>
      </c>
      <c r="I563" s="67"/>
      <c r="J563" s="63"/>
      <c r="K563" s="63"/>
      <c r="L563" s="62" t="e">
        <f t="shared" si="11"/>
        <v>#DIV/0!</v>
      </c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  <c r="AL563" s="36"/>
      <c r="AM563" s="36"/>
      <c r="AN563" s="36"/>
    </row>
    <row r="564" spans="1:40" ht="15.75" thickBot="1" x14ac:dyDescent="0.3">
      <c r="A564" t="s">
        <v>165</v>
      </c>
      <c r="B564" s="39" t="s">
        <v>1586</v>
      </c>
      <c r="C564" s="39" t="s">
        <v>1040</v>
      </c>
      <c r="D564" s="39" t="s">
        <v>1587</v>
      </c>
      <c r="E564" s="67" t="s">
        <v>15</v>
      </c>
      <c r="F564" s="67" t="s">
        <v>1267</v>
      </c>
      <c r="G564" s="67"/>
      <c r="H564" s="67" t="s">
        <v>1588</v>
      </c>
      <c r="I564" s="67"/>
      <c r="J564" s="63" t="s">
        <v>2105</v>
      </c>
      <c r="K564" s="63" t="s">
        <v>2105</v>
      </c>
      <c r="L564" s="24" t="e">
        <f t="shared" si="11"/>
        <v>#VALUE!</v>
      </c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  <c r="AL564" s="36"/>
      <c r="AM564" s="36"/>
      <c r="AN564" s="36"/>
    </row>
    <row r="565" spans="1:40" ht="15.75" thickBot="1" x14ac:dyDescent="0.3">
      <c r="A565" t="s">
        <v>165</v>
      </c>
      <c r="B565" t="s">
        <v>1025</v>
      </c>
      <c r="C565" t="s">
        <v>1040</v>
      </c>
      <c r="D565" t="s">
        <v>563</v>
      </c>
      <c r="E565" s="23" t="s">
        <v>71</v>
      </c>
      <c r="F565" s="67" t="s">
        <v>1267</v>
      </c>
      <c r="G565" s="23"/>
      <c r="H565" s="23" t="s">
        <v>863</v>
      </c>
      <c r="I565" s="23"/>
      <c r="J565" s="63" t="s">
        <v>2101</v>
      </c>
      <c r="K565" s="63" t="s">
        <v>2101</v>
      </c>
      <c r="L565" s="24" t="e">
        <f t="shared" si="11"/>
        <v>#VALUE!</v>
      </c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36"/>
      <c r="AM565" s="36"/>
      <c r="AN565" s="36"/>
    </row>
    <row r="566" spans="1:40" ht="15.75" thickBot="1" x14ac:dyDescent="0.3">
      <c r="A566" t="s">
        <v>165</v>
      </c>
      <c r="B566" t="s">
        <v>1026</v>
      </c>
      <c r="C566" t="s">
        <v>1040</v>
      </c>
      <c r="D566" t="s">
        <v>564</v>
      </c>
      <c r="E566" s="23" t="s">
        <v>15</v>
      </c>
      <c r="F566" s="23" t="s">
        <v>2295</v>
      </c>
      <c r="G566" s="23"/>
      <c r="H566" s="23" t="s">
        <v>864</v>
      </c>
      <c r="I566" s="23"/>
      <c r="J566" s="63" t="s">
        <v>2023</v>
      </c>
      <c r="K566" s="63" t="s">
        <v>2023</v>
      </c>
      <c r="L566" s="24" t="e">
        <f t="shared" si="11"/>
        <v>#VALUE!</v>
      </c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  <c r="AL566" s="36"/>
      <c r="AM566" s="36"/>
      <c r="AN566" s="36"/>
    </row>
    <row r="567" spans="1:40" ht="15.75" thickBot="1" x14ac:dyDescent="0.3">
      <c r="A567" t="s">
        <v>165</v>
      </c>
      <c r="B567" t="s">
        <v>565</v>
      </c>
      <c r="C567" t="s">
        <v>1040</v>
      </c>
      <c r="D567" t="s">
        <v>566</v>
      </c>
      <c r="E567" s="23" t="s">
        <v>71</v>
      </c>
      <c r="F567" s="67" t="s">
        <v>1267</v>
      </c>
      <c r="G567" s="23"/>
      <c r="H567" s="23" t="s">
        <v>865</v>
      </c>
      <c r="I567" s="23"/>
      <c r="J567" s="63" t="s">
        <v>2102</v>
      </c>
      <c r="K567" s="63" t="s">
        <v>2102</v>
      </c>
      <c r="L567" s="24" t="e">
        <f t="shared" si="11"/>
        <v>#VALUE!</v>
      </c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  <c r="AL567" s="36"/>
      <c r="AM567" s="36"/>
      <c r="AN567" s="36"/>
    </row>
    <row r="568" spans="1:40" ht="15.75" thickBot="1" x14ac:dyDescent="0.3">
      <c r="A568" t="s">
        <v>165</v>
      </c>
      <c r="B568" t="s">
        <v>567</v>
      </c>
      <c r="C568" t="s">
        <v>1040</v>
      </c>
      <c r="D568" t="s">
        <v>568</v>
      </c>
      <c r="E568" s="23" t="s">
        <v>15</v>
      </c>
      <c r="F568" s="23" t="s">
        <v>2295</v>
      </c>
      <c r="G568" s="23"/>
      <c r="H568" s="23" t="s">
        <v>866</v>
      </c>
      <c r="I568" s="23"/>
      <c r="J568" s="63" t="s">
        <v>2024</v>
      </c>
      <c r="K568" s="63" t="s">
        <v>2024</v>
      </c>
      <c r="L568" s="24" t="e">
        <f t="shared" si="11"/>
        <v>#VALUE!</v>
      </c>
      <c r="M568" s="36" t="s">
        <v>2188</v>
      </c>
      <c r="N568" s="36" t="s">
        <v>2188</v>
      </c>
      <c r="O568" s="36" t="s">
        <v>2188</v>
      </c>
      <c r="P568" s="36" t="s">
        <v>2188</v>
      </c>
      <c r="Q568" s="36" t="s">
        <v>2188</v>
      </c>
      <c r="R568" s="36" t="s">
        <v>2188</v>
      </c>
      <c r="S568" s="36"/>
      <c r="T568" s="36"/>
      <c r="U568" s="36" t="s">
        <v>2188</v>
      </c>
      <c r="V568" s="36" t="s">
        <v>2188</v>
      </c>
      <c r="W568" s="36" t="s">
        <v>2188</v>
      </c>
      <c r="X568" s="36" t="s">
        <v>2188</v>
      </c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  <c r="AL568" s="36"/>
      <c r="AM568" s="36"/>
      <c r="AN568" s="36"/>
    </row>
    <row r="569" spans="1:40" ht="15.75" thickBot="1" x14ac:dyDescent="0.3">
      <c r="A569" t="s">
        <v>573</v>
      </c>
      <c r="B569" s="39" t="s">
        <v>569</v>
      </c>
      <c r="C569" s="39" t="s">
        <v>1040</v>
      </c>
      <c r="D569" s="39" t="s">
        <v>570</v>
      </c>
      <c r="E569" s="67" t="s">
        <v>15</v>
      </c>
      <c r="F569" s="67" t="s">
        <v>1267</v>
      </c>
      <c r="G569" s="67"/>
      <c r="H569" s="67" t="s">
        <v>867</v>
      </c>
      <c r="I569" s="67"/>
      <c r="J569" s="63" t="s">
        <v>2025</v>
      </c>
      <c r="K569" s="63" t="s">
        <v>2025</v>
      </c>
      <c r="L569" s="24" t="e">
        <f t="shared" si="11"/>
        <v>#VALUE!</v>
      </c>
      <c r="M569" s="36" t="s">
        <v>2188</v>
      </c>
      <c r="N569" s="36" t="s">
        <v>2188</v>
      </c>
      <c r="O569" s="36" t="s">
        <v>2188</v>
      </c>
      <c r="P569" s="36" t="s">
        <v>2188</v>
      </c>
      <c r="Q569" s="36" t="s">
        <v>2188</v>
      </c>
      <c r="R569" s="36" t="s">
        <v>2188</v>
      </c>
      <c r="S569" s="36"/>
      <c r="T569" s="36"/>
      <c r="U569" s="36" t="s">
        <v>2188</v>
      </c>
      <c r="V569" s="36" t="s">
        <v>2188</v>
      </c>
      <c r="W569" s="36" t="s">
        <v>2188</v>
      </c>
      <c r="X569" s="36" t="s">
        <v>2188</v>
      </c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  <c r="AL569" s="36"/>
      <c r="AM569" s="36"/>
      <c r="AN569" s="36"/>
    </row>
    <row r="570" spans="1:40" ht="15.75" thickBot="1" x14ac:dyDescent="0.3">
      <c r="A570" t="s">
        <v>573</v>
      </c>
      <c r="B570" t="s">
        <v>571</v>
      </c>
      <c r="C570" t="s">
        <v>1040</v>
      </c>
      <c r="D570" t="s">
        <v>1064</v>
      </c>
      <c r="E570" s="23" t="s">
        <v>18</v>
      </c>
      <c r="F570" s="23" t="s">
        <v>19</v>
      </c>
      <c r="G570" s="23"/>
      <c r="H570" s="23" t="s">
        <v>1352</v>
      </c>
      <c r="I570" s="23"/>
      <c r="J570" s="63" t="s">
        <v>2103</v>
      </c>
      <c r="K570" s="63" t="s">
        <v>2103</v>
      </c>
      <c r="L570" s="24" t="e">
        <f t="shared" si="11"/>
        <v>#VALUE!</v>
      </c>
      <c r="M570" s="36" t="s">
        <v>2188</v>
      </c>
      <c r="N570" s="36" t="s">
        <v>2188</v>
      </c>
      <c r="O570" s="36" t="s">
        <v>2188</v>
      </c>
      <c r="P570" s="36" t="s">
        <v>2188</v>
      </c>
      <c r="Q570" s="36" t="s">
        <v>2188</v>
      </c>
      <c r="R570" s="36" t="s">
        <v>2188</v>
      </c>
      <c r="S570" s="36"/>
      <c r="T570" s="36"/>
      <c r="U570" s="36" t="s">
        <v>2188</v>
      </c>
      <c r="V570" s="36" t="s">
        <v>2188</v>
      </c>
      <c r="W570" s="36" t="s">
        <v>2188</v>
      </c>
      <c r="X570" s="36" t="s">
        <v>2188</v>
      </c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  <c r="AL570" s="36"/>
      <c r="AM570" s="36"/>
      <c r="AN570" s="36"/>
    </row>
    <row r="571" spans="1:40" ht="15.75" thickBot="1" x14ac:dyDescent="0.3">
      <c r="A571" t="s">
        <v>573</v>
      </c>
      <c r="B571" t="s">
        <v>1027</v>
      </c>
      <c r="C571" t="s">
        <v>1040</v>
      </c>
      <c r="D571" t="s">
        <v>1065</v>
      </c>
      <c r="E571" s="23" t="s">
        <v>71</v>
      </c>
      <c r="F571" s="23" t="s">
        <v>27</v>
      </c>
      <c r="G571" s="23"/>
      <c r="H571" s="23" t="s">
        <v>868</v>
      </c>
      <c r="I571" s="23"/>
      <c r="J571" s="63" t="s">
        <v>2026</v>
      </c>
      <c r="K571" s="63" t="s">
        <v>2026</v>
      </c>
      <c r="L571" s="24" t="e">
        <f t="shared" si="11"/>
        <v>#VALUE!</v>
      </c>
      <c r="M571" s="36" t="s">
        <v>2188</v>
      </c>
      <c r="N571" s="36" t="s">
        <v>2188</v>
      </c>
      <c r="O571" s="36" t="s">
        <v>2188</v>
      </c>
      <c r="P571" s="36" t="s">
        <v>2188</v>
      </c>
      <c r="Q571" s="36" t="s">
        <v>2188</v>
      </c>
      <c r="R571" s="36" t="s">
        <v>2188</v>
      </c>
      <c r="S571" s="36"/>
      <c r="T571" s="36"/>
      <c r="U571" s="36" t="s">
        <v>2188</v>
      </c>
      <c r="V571" s="36" t="s">
        <v>2188</v>
      </c>
      <c r="W571" s="36" t="s">
        <v>2188</v>
      </c>
      <c r="X571" s="36" t="s">
        <v>2188</v>
      </c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  <c r="AL571" s="36"/>
      <c r="AM571" s="36"/>
      <c r="AN571" s="36"/>
    </row>
    <row r="572" spans="1:40" ht="15.75" thickBot="1" x14ac:dyDescent="0.3">
      <c r="A572" t="s">
        <v>573</v>
      </c>
      <c r="B572" t="s">
        <v>1028</v>
      </c>
      <c r="C572" t="s">
        <v>1040</v>
      </c>
      <c r="D572" t="s">
        <v>1065</v>
      </c>
      <c r="E572" s="23" t="s">
        <v>71</v>
      </c>
      <c r="F572" s="23" t="s">
        <v>27</v>
      </c>
      <c r="G572" s="23"/>
      <c r="H572" s="23" t="s">
        <v>869</v>
      </c>
      <c r="I572" s="23"/>
      <c r="J572" s="63" t="s">
        <v>2027</v>
      </c>
      <c r="K572" s="63" t="s">
        <v>2027</v>
      </c>
      <c r="L572" s="24" t="e">
        <f t="shared" si="11"/>
        <v>#VALUE!</v>
      </c>
      <c r="M572" s="36" t="s">
        <v>2188</v>
      </c>
      <c r="N572" s="36" t="s">
        <v>2188</v>
      </c>
      <c r="O572" s="36" t="s">
        <v>2188</v>
      </c>
      <c r="P572" s="36" t="s">
        <v>2188</v>
      </c>
      <c r="Q572" s="36" t="s">
        <v>2188</v>
      </c>
      <c r="R572" s="36" t="s">
        <v>2188</v>
      </c>
      <c r="S572" s="36"/>
      <c r="T572" s="36"/>
      <c r="U572" s="36"/>
      <c r="V572" s="36" t="s">
        <v>2188</v>
      </c>
      <c r="W572" s="36" t="s">
        <v>2188</v>
      </c>
      <c r="X572" s="36" t="s">
        <v>2188</v>
      </c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  <c r="AL572" s="36"/>
      <c r="AM572" s="36"/>
      <c r="AN572" s="36"/>
    </row>
    <row r="573" spans="1:40" s="39" customFormat="1" ht="15.75" thickBot="1" x14ac:dyDescent="0.3">
      <c r="A573" s="39" t="s">
        <v>578</v>
      </c>
      <c r="B573" t="s">
        <v>1029</v>
      </c>
      <c r="C573" t="s">
        <v>1040</v>
      </c>
      <c r="D573" t="s">
        <v>1079</v>
      </c>
      <c r="E573" s="23" t="s">
        <v>15</v>
      </c>
      <c r="F573" s="23" t="s">
        <v>27</v>
      </c>
      <c r="G573" s="23"/>
      <c r="H573" s="23" t="s">
        <v>870</v>
      </c>
      <c r="I573" s="23"/>
      <c r="J573" s="63" t="s">
        <v>2028</v>
      </c>
      <c r="K573" s="63" t="s">
        <v>2028</v>
      </c>
      <c r="L573" s="62" t="e">
        <f t="shared" si="11"/>
        <v>#VALUE!</v>
      </c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  <c r="AL573" s="36"/>
      <c r="AM573" s="36"/>
      <c r="AN573" s="36"/>
    </row>
    <row r="574" spans="1:40" s="39" customFormat="1" ht="15.75" thickBot="1" x14ac:dyDescent="0.3">
      <c r="A574" s="39" t="s">
        <v>578</v>
      </c>
      <c r="B574" t="s">
        <v>572</v>
      </c>
      <c r="C574" t="s">
        <v>1040</v>
      </c>
      <c r="D574" t="s">
        <v>1066</v>
      </c>
      <c r="E574" s="23" t="s">
        <v>15</v>
      </c>
      <c r="F574" s="23" t="s">
        <v>1033</v>
      </c>
      <c r="G574" s="23"/>
      <c r="H574" s="23" t="s">
        <v>1190</v>
      </c>
      <c r="I574" s="23"/>
      <c r="J574" s="63" t="s">
        <v>2029</v>
      </c>
      <c r="K574" s="63" t="s">
        <v>2029</v>
      </c>
      <c r="L574" s="62" t="e">
        <f t="shared" si="11"/>
        <v>#VALUE!</v>
      </c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  <c r="AL574" s="36"/>
      <c r="AM574" s="36"/>
      <c r="AN574" s="36"/>
    </row>
    <row r="575" spans="1:40" s="39" customFormat="1" ht="15.75" thickBot="1" x14ac:dyDescent="0.3">
      <c r="A575" s="39" t="s">
        <v>578</v>
      </c>
      <c r="B575" t="s">
        <v>1030</v>
      </c>
      <c r="C575" t="s">
        <v>1040</v>
      </c>
      <c r="D575" t="s">
        <v>575</v>
      </c>
      <c r="E575" s="23" t="s">
        <v>71</v>
      </c>
      <c r="F575" s="23" t="s">
        <v>27</v>
      </c>
      <c r="G575" s="23"/>
      <c r="H575" s="23" t="s">
        <v>872</v>
      </c>
      <c r="I575" s="23"/>
      <c r="J575" s="63" t="s">
        <v>2031</v>
      </c>
      <c r="K575" s="63" t="s">
        <v>2031</v>
      </c>
      <c r="L575" s="62" t="e">
        <f t="shared" si="11"/>
        <v>#VALUE!</v>
      </c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  <c r="AL575" s="36"/>
      <c r="AM575" s="36"/>
      <c r="AN575" s="36"/>
    </row>
    <row r="576" spans="1:40" ht="14.25" customHeight="1" thickBot="1" x14ac:dyDescent="0.3">
      <c r="A576" t="s">
        <v>581</v>
      </c>
      <c r="B576" t="s">
        <v>1031</v>
      </c>
      <c r="C576" t="s">
        <v>1040</v>
      </c>
      <c r="D576" t="s">
        <v>576</v>
      </c>
      <c r="E576" s="23" t="s">
        <v>71</v>
      </c>
      <c r="F576" s="23" t="s">
        <v>27</v>
      </c>
      <c r="G576" s="23"/>
      <c r="H576" s="23" t="s">
        <v>873</v>
      </c>
      <c r="I576" s="23"/>
      <c r="J576" s="63" t="s">
        <v>2032</v>
      </c>
      <c r="K576" s="63" t="s">
        <v>2032</v>
      </c>
      <c r="L576" s="24" t="e">
        <f t="shared" si="11"/>
        <v>#VALUE!</v>
      </c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  <c r="AL576" s="36"/>
      <c r="AM576" s="36"/>
      <c r="AN576" s="36"/>
    </row>
    <row r="577" spans="1:40" ht="15.75" thickBot="1" x14ac:dyDescent="0.3">
      <c r="A577" t="s">
        <v>581</v>
      </c>
      <c r="B577" t="s">
        <v>574</v>
      </c>
      <c r="C577" t="s">
        <v>1040</v>
      </c>
      <c r="D577" t="s">
        <v>575</v>
      </c>
      <c r="E577" s="23" t="s">
        <v>71</v>
      </c>
      <c r="F577" s="23" t="s">
        <v>27</v>
      </c>
      <c r="G577" s="23"/>
      <c r="H577" s="23" t="s">
        <v>871</v>
      </c>
      <c r="I577" s="23"/>
      <c r="J577" s="63" t="s">
        <v>2030</v>
      </c>
      <c r="K577" s="63" t="s">
        <v>2030</v>
      </c>
      <c r="L577" s="24" t="e">
        <f t="shared" si="11"/>
        <v>#VALUE!</v>
      </c>
      <c r="M577" s="36"/>
      <c r="N577" s="36"/>
      <c r="O577" s="36"/>
      <c r="P577" s="36" t="s">
        <v>2188</v>
      </c>
      <c r="Q577" s="36" t="s">
        <v>2188</v>
      </c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  <c r="AL577" s="36"/>
      <c r="AM577" s="36"/>
      <c r="AN577" s="36"/>
    </row>
    <row r="578" spans="1:40" ht="15.75" thickBot="1" x14ac:dyDescent="0.3">
      <c r="A578" t="s">
        <v>581</v>
      </c>
      <c r="B578" t="s">
        <v>577</v>
      </c>
      <c r="C578" t="s">
        <v>1040</v>
      </c>
      <c r="D578" t="s">
        <v>576</v>
      </c>
      <c r="E578" s="23" t="s">
        <v>71</v>
      </c>
      <c r="F578" s="23" t="s">
        <v>27</v>
      </c>
      <c r="G578" s="23"/>
      <c r="H578" s="23" t="s">
        <v>874</v>
      </c>
      <c r="I578" s="23"/>
      <c r="J578" s="63" t="s">
        <v>2033</v>
      </c>
      <c r="K578" s="63" t="s">
        <v>2033</v>
      </c>
      <c r="L578" s="24" t="e">
        <f t="shared" si="11"/>
        <v>#VALUE!</v>
      </c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  <c r="AL578" s="36"/>
      <c r="AM578" s="36"/>
      <c r="AN578" s="36"/>
    </row>
    <row r="579" spans="1:40" ht="15.75" thickBot="1" x14ac:dyDescent="0.3">
      <c r="A579" t="s">
        <v>581</v>
      </c>
      <c r="B579" s="39" t="s">
        <v>579</v>
      </c>
      <c r="C579" s="39" t="s">
        <v>1040</v>
      </c>
      <c r="D579" s="39" t="s">
        <v>580</v>
      </c>
      <c r="E579" s="67" t="s">
        <v>15</v>
      </c>
      <c r="F579" s="67" t="s">
        <v>1267</v>
      </c>
      <c r="G579" s="67"/>
      <c r="H579" s="67" t="s">
        <v>875</v>
      </c>
      <c r="I579" s="67"/>
      <c r="J579" s="63" t="s">
        <v>2118</v>
      </c>
      <c r="K579" s="63" t="s">
        <v>2118</v>
      </c>
      <c r="L579" s="24" t="e">
        <f t="shared" si="11"/>
        <v>#VALUE!</v>
      </c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  <c r="AL579" s="36"/>
      <c r="AM579" s="36"/>
      <c r="AN579" s="36"/>
    </row>
    <row r="580" spans="1:40" ht="15.75" thickBot="1" x14ac:dyDescent="0.3">
      <c r="A580" t="s">
        <v>581</v>
      </c>
      <c r="B580" s="39" t="s">
        <v>2167</v>
      </c>
      <c r="C580" s="39" t="s">
        <v>1040</v>
      </c>
      <c r="D580" s="39" t="s">
        <v>2168</v>
      </c>
      <c r="E580" s="67" t="s">
        <v>15</v>
      </c>
      <c r="F580" s="67" t="s">
        <v>1267</v>
      </c>
      <c r="G580" s="67"/>
      <c r="H580" s="67" t="s">
        <v>2169</v>
      </c>
      <c r="I580" s="67"/>
      <c r="J580" s="63" t="s">
        <v>2170</v>
      </c>
      <c r="K580" s="63" t="s">
        <v>2170</v>
      </c>
      <c r="L580" s="24" t="e">
        <f t="shared" si="11"/>
        <v>#VALUE!</v>
      </c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  <c r="AL580" s="36"/>
      <c r="AM580" s="36"/>
      <c r="AN580" s="36"/>
    </row>
    <row r="581" spans="1:40" ht="15.75" thickBot="1" x14ac:dyDescent="0.3">
      <c r="A581" t="s">
        <v>581</v>
      </c>
      <c r="B581" s="39" t="s">
        <v>2180</v>
      </c>
      <c r="C581" s="39" t="s">
        <v>1040</v>
      </c>
      <c r="D581" s="39" t="s">
        <v>2181</v>
      </c>
      <c r="E581" s="67" t="s">
        <v>15</v>
      </c>
      <c r="F581" s="67" t="s">
        <v>1267</v>
      </c>
      <c r="G581" s="67"/>
      <c r="H581" s="67" t="s">
        <v>2272</v>
      </c>
      <c r="I581" s="67"/>
      <c r="J581" s="63" t="s">
        <v>2366</v>
      </c>
      <c r="K581" s="63" t="s">
        <v>2366</v>
      </c>
      <c r="L581" s="24" t="e">
        <f t="shared" si="11"/>
        <v>#VALUE!</v>
      </c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  <c r="AL581" s="36"/>
      <c r="AM581" s="36"/>
      <c r="AN581" s="36"/>
    </row>
    <row r="582" spans="1:40" ht="15.75" thickBot="1" x14ac:dyDescent="0.3">
      <c r="A582" t="s">
        <v>376</v>
      </c>
      <c r="B582" t="s">
        <v>583</v>
      </c>
      <c r="C582" t="s">
        <v>1040</v>
      </c>
      <c r="D582" t="s">
        <v>584</v>
      </c>
      <c r="E582" s="23" t="s">
        <v>15</v>
      </c>
      <c r="F582" s="23" t="s">
        <v>19</v>
      </c>
      <c r="G582" s="23"/>
      <c r="H582" s="23" t="s">
        <v>877</v>
      </c>
      <c r="I582" s="23"/>
      <c r="J582" s="63" t="s">
        <v>2120</v>
      </c>
      <c r="K582" s="63" t="s">
        <v>2120</v>
      </c>
      <c r="L582" s="24" t="e">
        <f t="shared" si="11"/>
        <v>#VALUE!</v>
      </c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  <c r="AK582" s="36"/>
      <c r="AL582" s="36"/>
      <c r="AM582" s="36"/>
      <c r="AN582" s="36"/>
    </row>
    <row r="583" spans="1:40" s="39" customFormat="1" ht="15.75" thickBot="1" x14ac:dyDescent="0.3">
      <c r="A583" s="39" t="s">
        <v>589</v>
      </c>
      <c r="B583" t="s">
        <v>585</v>
      </c>
      <c r="C583" t="s">
        <v>1040</v>
      </c>
      <c r="D583" t="s">
        <v>586</v>
      </c>
      <c r="E583" s="23" t="s">
        <v>15</v>
      </c>
      <c r="F583" s="23" t="s">
        <v>19</v>
      </c>
      <c r="G583" s="23"/>
      <c r="H583" s="23" t="s">
        <v>878</v>
      </c>
      <c r="I583" s="23"/>
      <c r="J583" s="63" t="s">
        <v>2121</v>
      </c>
      <c r="K583" s="63" t="s">
        <v>2121</v>
      </c>
      <c r="L583" s="62" t="e">
        <f t="shared" si="11"/>
        <v>#VALUE!</v>
      </c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  <c r="AK583" s="36"/>
      <c r="AL583" s="36"/>
      <c r="AM583" s="36"/>
      <c r="AN583" s="36"/>
    </row>
    <row r="584" spans="1:40" s="39" customFormat="1" ht="15.75" thickBot="1" x14ac:dyDescent="0.3">
      <c r="A584" s="39" t="s">
        <v>297</v>
      </c>
      <c r="B584" s="23" t="s">
        <v>1087</v>
      </c>
      <c r="C584" s="23" t="s">
        <v>1040</v>
      </c>
      <c r="D584" t="s">
        <v>1089</v>
      </c>
      <c r="E584" s="23" t="s">
        <v>1086</v>
      </c>
      <c r="F584" s="23" t="s">
        <v>27</v>
      </c>
      <c r="G584" s="23"/>
      <c r="H584" s="23" t="s">
        <v>1094</v>
      </c>
      <c r="I584" s="23"/>
      <c r="J584" s="63" t="s">
        <v>2035</v>
      </c>
      <c r="K584" s="63" t="s">
        <v>2035</v>
      </c>
      <c r="L584" s="62" t="e">
        <f t="shared" si="11"/>
        <v>#VALUE!</v>
      </c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  <c r="AL584" s="36"/>
      <c r="AM584" s="36"/>
      <c r="AN584" s="36"/>
    </row>
    <row r="585" spans="1:40" s="39" customFormat="1" ht="15.75" thickBot="1" x14ac:dyDescent="0.3">
      <c r="A585" s="39" t="s">
        <v>589</v>
      </c>
      <c r="B585" s="23" t="s">
        <v>1088</v>
      </c>
      <c r="C585" s="23" t="s">
        <v>1040</v>
      </c>
      <c r="D585" t="s">
        <v>1089</v>
      </c>
      <c r="E585" s="23" t="s">
        <v>1086</v>
      </c>
      <c r="F585" s="23" t="s">
        <v>27</v>
      </c>
      <c r="G585" s="23"/>
      <c r="H585" s="23" t="s">
        <v>1095</v>
      </c>
      <c r="I585" s="23"/>
      <c r="J585" s="63" t="s">
        <v>2034</v>
      </c>
      <c r="K585" s="63" t="s">
        <v>2034</v>
      </c>
      <c r="L585" s="62" t="e">
        <f t="shared" si="11"/>
        <v>#VALUE!</v>
      </c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  <c r="AL585" s="36"/>
      <c r="AM585" s="36"/>
      <c r="AN585" s="36"/>
    </row>
    <row r="586" spans="1:40" s="39" customFormat="1" ht="15.75" thickBot="1" x14ac:dyDescent="0.3">
      <c r="A586" s="39" t="s">
        <v>589</v>
      </c>
      <c r="B586" s="23" t="s">
        <v>1171</v>
      </c>
      <c r="C586" s="23" t="s">
        <v>1040</v>
      </c>
      <c r="D586" t="s">
        <v>1172</v>
      </c>
      <c r="E586" s="23" t="s">
        <v>15</v>
      </c>
      <c r="F586" s="23" t="s">
        <v>27</v>
      </c>
      <c r="G586" s="23"/>
      <c r="H586" s="23" t="s">
        <v>1173</v>
      </c>
      <c r="I586" s="23"/>
      <c r="J586" s="63" t="s">
        <v>2036</v>
      </c>
      <c r="K586" s="63" t="s">
        <v>2036</v>
      </c>
      <c r="L586" s="62" t="e">
        <f t="shared" si="11"/>
        <v>#VALUE!</v>
      </c>
      <c r="M586" s="36" t="s">
        <v>2188</v>
      </c>
      <c r="N586" s="36" t="s">
        <v>2188</v>
      </c>
      <c r="O586" s="36" t="s">
        <v>2188</v>
      </c>
      <c r="P586" s="36" t="s">
        <v>2188</v>
      </c>
      <c r="Q586" s="36" t="s">
        <v>2188</v>
      </c>
      <c r="R586" s="36" t="s">
        <v>2188</v>
      </c>
      <c r="S586" s="36"/>
      <c r="T586" s="36"/>
      <c r="U586" s="36" t="s">
        <v>2188</v>
      </c>
      <c r="V586" s="36" t="s">
        <v>2188</v>
      </c>
      <c r="W586" s="36" t="s">
        <v>2188</v>
      </c>
      <c r="X586" s="36" t="s">
        <v>2188</v>
      </c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  <c r="AL586" s="36"/>
      <c r="AM586" s="36"/>
      <c r="AN586" s="36"/>
    </row>
    <row r="587" spans="1:40" s="39" customFormat="1" ht="15.75" thickBot="1" x14ac:dyDescent="0.3">
      <c r="A587" s="39" t="s">
        <v>589</v>
      </c>
      <c r="B587" t="s">
        <v>1032</v>
      </c>
      <c r="C587" t="s">
        <v>1040</v>
      </c>
      <c r="D587" t="s">
        <v>582</v>
      </c>
      <c r="E587" s="23" t="s">
        <v>15</v>
      </c>
      <c r="F587" s="23" t="s">
        <v>19</v>
      </c>
      <c r="G587" s="23"/>
      <c r="H587" s="23" t="s">
        <v>876</v>
      </c>
      <c r="I587" s="23"/>
      <c r="J587" s="63" t="s">
        <v>2119</v>
      </c>
      <c r="K587" s="63" t="s">
        <v>2119</v>
      </c>
      <c r="L587" s="62" t="e">
        <f t="shared" si="11"/>
        <v>#VALUE!</v>
      </c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  <c r="AL587" s="36"/>
      <c r="AM587" s="36"/>
      <c r="AN587" s="36"/>
    </row>
    <row r="588" spans="1:40" s="39" customFormat="1" ht="15.75" thickBot="1" x14ac:dyDescent="0.3">
      <c r="A588" s="39" t="s">
        <v>589</v>
      </c>
      <c r="B588" s="39" t="s">
        <v>587</v>
      </c>
      <c r="C588" s="39" t="s">
        <v>1039</v>
      </c>
      <c r="D588" s="39" t="s">
        <v>588</v>
      </c>
      <c r="E588" s="67" t="s">
        <v>18</v>
      </c>
      <c r="F588" s="67" t="s">
        <v>1267</v>
      </c>
      <c r="G588" s="67"/>
      <c r="H588" s="67" t="s">
        <v>1383</v>
      </c>
      <c r="I588" s="67"/>
      <c r="J588" s="63" t="s">
        <v>2040</v>
      </c>
      <c r="K588" s="63" t="s">
        <v>2040</v>
      </c>
      <c r="L588" s="62" t="e">
        <f t="shared" si="11"/>
        <v>#VALUE!</v>
      </c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  <c r="AL588" s="36"/>
      <c r="AM588" s="36"/>
      <c r="AN588" s="36"/>
    </row>
    <row r="589" spans="1:40" s="39" customFormat="1" ht="15.75" thickBot="1" x14ac:dyDescent="0.3">
      <c r="A589" s="39" t="s">
        <v>589</v>
      </c>
      <c r="B589" s="39" t="s">
        <v>1396</v>
      </c>
      <c r="C589" s="39" t="s">
        <v>1039</v>
      </c>
      <c r="D589" s="39" t="s">
        <v>1397</v>
      </c>
      <c r="E589" s="67" t="s">
        <v>45</v>
      </c>
      <c r="F589" s="67" t="s">
        <v>1267</v>
      </c>
      <c r="G589" s="67"/>
      <c r="H589" s="67" t="s">
        <v>1402</v>
      </c>
      <c r="I589" s="67"/>
      <c r="J589" s="63" t="s">
        <v>2041</v>
      </c>
      <c r="K589" s="63" t="s">
        <v>2041</v>
      </c>
      <c r="L589" s="62" t="e">
        <f t="shared" si="11"/>
        <v>#VALUE!</v>
      </c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  <c r="AL589" s="36"/>
      <c r="AM589" s="36"/>
      <c r="AN589" s="36"/>
    </row>
    <row r="590" spans="1:40" s="39" customFormat="1" ht="15.75" thickBot="1" x14ac:dyDescent="0.3">
      <c r="A590" s="39" t="s">
        <v>589</v>
      </c>
      <c r="B590" s="39" t="s">
        <v>1399</v>
      </c>
      <c r="C590" s="39" t="s">
        <v>1039</v>
      </c>
      <c r="D590" s="39" t="s">
        <v>1398</v>
      </c>
      <c r="E590" s="67" t="s">
        <v>71</v>
      </c>
      <c r="F590" s="67" t="s">
        <v>1267</v>
      </c>
      <c r="G590" s="67"/>
      <c r="H590" s="67" t="s">
        <v>1403</v>
      </c>
      <c r="I590" s="67"/>
      <c r="J590" s="63" t="s">
        <v>2042</v>
      </c>
      <c r="K590" s="63" t="s">
        <v>2042</v>
      </c>
      <c r="L590" s="62" t="e">
        <f t="shared" si="11"/>
        <v>#VALUE!</v>
      </c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L590" s="37"/>
      <c r="AM590" s="37"/>
      <c r="AN590" s="37"/>
    </row>
    <row r="591" spans="1:40" ht="17.25" customHeight="1" thickBot="1" x14ac:dyDescent="0.3">
      <c r="A591" s="39" t="s">
        <v>589</v>
      </c>
      <c r="B591" s="39" t="s">
        <v>1400</v>
      </c>
      <c r="C591" s="39" t="s">
        <v>1039</v>
      </c>
      <c r="D591" s="39" t="s">
        <v>1401</v>
      </c>
      <c r="E591" s="67" t="s">
        <v>71</v>
      </c>
      <c r="F591" s="67" t="s">
        <v>1267</v>
      </c>
      <c r="G591" s="67"/>
      <c r="H591" s="67" t="s">
        <v>1404</v>
      </c>
      <c r="I591" s="67"/>
      <c r="J591" s="63" t="s">
        <v>2043</v>
      </c>
      <c r="K591" s="63" t="s">
        <v>2043</v>
      </c>
      <c r="L591" s="62" t="e">
        <f t="shared" si="11"/>
        <v>#VALUE!</v>
      </c>
      <c r="M591" s="37"/>
      <c r="N591" s="37"/>
      <c r="O591" s="37"/>
      <c r="P591" s="37"/>
      <c r="Q591" s="37"/>
      <c r="R591" s="37"/>
      <c r="S591" s="37"/>
      <c r="T591" s="37"/>
      <c r="U591" s="37"/>
      <c r="V591" s="37" t="s">
        <v>2188</v>
      </c>
      <c r="W591" s="37"/>
      <c r="X591" s="37" t="s">
        <v>2188</v>
      </c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</row>
    <row r="592" spans="1:40" x14ac:dyDescent="0.25">
      <c r="B592" s="39" t="s">
        <v>2044</v>
      </c>
      <c r="C592" s="39" t="s">
        <v>1039</v>
      </c>
      <c r="D592" s="39" t="s">
        <v>2045</v>
      </c>
      <c r="E592" s="67" t="s">
        <v>15</v>
      </c>
      <c r="F592" s="67" t="s">
        <v>1267</v>
      </c>
      <c r="G592" s="67"/>
      <c r="H592" s="67" t="s">
        <v>2273</v>
      </c>
      <c r="I592" s="67"/>
      <c r="J592" s="63" t="s">
        <v>2046</v>
      </c>
      <c r="K592" s="63" t="s">
        <v>2046</v>
      </c>
    </row>
    <row r="593" spans="2:11" x14ac:dyDescent="0.25">
      <c r="B593" s="39" t="s">
        <v>2193</v>
      </c>
      <c r="C593" s="39" t="s">
        <v>1039</v>
      </c>
      <c r="D593" s="39" t="s">
        <v>2194</v>
      </c>
      <c r="E593" s="67" t="s">
        <v>15</v>
      </c>
      <c r="F593" s="67" t="s">
        <v>1267</v>
      </c>
      <c r="G593" s="67"/>
      <c r="H593" s="67" t="s">
        <v>2195</v>
      </c>
      <c r="I593" s="67"/>
      <c r="J593" s="63" t="s">
        <v>2196</v>
      </c>
      <c r="K593" s="63" t="s">
        <v>2196</v>
      </c>
    </row>
    <row r="594" spans="2:11" x14ac:dyDescent="0.25">
      <c r="B594" s="39" t="s">
        <v>590</v>
      </c>
      <c r="C594" s="39" t="s">
        <v>1040</v>
      </c>
      <c r="D594" s="39" t="s">
        <v>591</v>
      </c>
      <c r="E594" s="67" t="s">
        <v>18</v>
      </c>
      <c r="F594" s="67" t="s">
        <v>1267</v>
      </c>
      <c r="G594" s="67"/>
      <c r="H594" s="67" t="s">
        <v>1325</v>
      </c>
      <c r="I594" s="67"/>
      <c r="J594" s="63" t="s">
        <v>2037</v>
      </c>
      <c r="K594" s="63" t="s">
        <v>2037</v>
      </c>
    </row>
    <row r="595" spans="2:11" x14ac:dyDescent="0.25">
      <c r="B595" s="39" t="s">
        <v>592</v>
      </c>
      <c r="C595" s="39" t="s">
        <v>1040</v>
      </c>
      <c r="D595" s="39" t="s">
        <v>593</v>
      </c>
      <c r="E595" s="67" t="s">
        <v>18</v>
      </c>
      <c r="F595" s="67" t="s">
        <v>1267</v>
      </c>
      <c r="G595" s="67"/>
      <c r="H595" s="67" t="s">
        <v>1322</v>
      </c>
      <c r="I595" s="67"/>
      <c r="J595" s="63" t="s">
        <v>2038</v>
      </c>
      <c r="K595" s="63" t="s">
        <v>2038</v>
      </c>
    </row>
    <row r="596" spans="2:11" x14ac:dyDescent="0.25">
      <c r="B596" s="39" t="s">
        <v>594</v>
      </c>
      <c r="C596" s="39" t="s">
        <v>1039</v>
      </c>
      <c r="D596" s="39" t="s">
        <v>595</v>
      </c>
      <c r="E596" s="67" t="s">
        <v>15</v>
      </c>
      <c r="F596" s="67" t="s">
        <v>1267</v>
      </c>
      <c r="G596" s="67"/>
      <c r="H596" s="67" t="s">
        <v>1443</v>
      </c>
      <c r="I596" s="67"/>
      <c r="J596" s="63" t="s">
        <v>2039</v>
      </c>
      <c r="K596" s="63" t="s">
        <v>2039</v>
      </c>
    </row>
    <row r="671" spans="13:40" x14ac:dyDescent="0.25"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</row>
    <row r="672" spans="13:40" x14ac:dyDescent="0.25"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</row>
    <row r="673" spans="5:40" x14ac:dyDescent="0.25">
      <c r="E673" s="23"/>
      <c r="F673" s="23"/>
      <c r="G673" s="23"/>
      <c r="H673" s="23"/>
      <c r="L673" s="11"/>
      <c r="M673" s="38"/>
      <c r="N673" s="38"/>
      <c r="O673" s="36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  <c r="AL673" s="38"/>
      <c r="AM673" s="38"/>
      <c r="AN673" s="38"/>
    </row>
    <row r="674" spans="5:40" x14ac:dyDescent="0.25">
      <c r="E674" s="23"/>
      <c r="F674" s="23"/>
      <c r="G674" s="23"/>
      <c r="H674" s="23"/>
      <c r="L674" s="11"/>
      <c r="M674" s="38"/>
      <c r="N674" s="38"/>
      <c r="O674" s="36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  <c r="AL674" s="38"/>
      <c r="AM674" s="38"/>
      <c r="AN674" s="38"/>
    </row>
    <row r="675" spans="5:40" x14ac:dyDescent="0.25">
      <c r="E675" s="23"/>
      <c r="F675" s="23"/>
      <c r="G675" s="23"/>
      <c r="H675" s="23"/>
      <c r="L675" s="11"/>
      <c r="M675" s="38"/>
      <c r="N675" s="38"/>
      <c r="O675" s="36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  <c r="AL675" s="38"/>
      <c r="AM675" s="38"/>
      <c r="AN675" s="38"/>
    </row>
    <row r="676" spans="5:40" x14ac:dyDescent="0.25">
      <c r="E676" s="23"/>
      <c r="F676" s="23"/>
      <c r="G676" s="23"/>
      <c r="H676" s="23"/>
      <c r="L676" s="11"/>
      <c r="M676" s="38"/>
      <c r="N676" s="38"/>
      <c r="O676" s="36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  <c r="AL676" s="38"/>
      <c r="AM676" s="38"/>
      <c r="AN676" s="38"/>
    </row>
    <row r="677" spans="5:40" x14ac:dyDescent="0.25">
      <c r="E677" s="23"/>
      <c r="F677" s="23"/>
      <c r="G677" s="23"/>
      <c r="H677" s="23"/>
      <c r="L677" s="11"/>
      <c r="M677" s="38"/>
      <c r="N677" s="38"/>
      <c r="O677" s="36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  <c r="AL677" s="38"/>
      <c r="AM677" s="38"/>
      <c r="AN677" s="38"/>
    </row>
    <row r="678" spans="5:40" x14ac:dyDescent="0.25">
      <c r="E678" s="23"/>
      <c r="F678" s="23"/>
      <c r="G678" s="23"/>
      <c r="H678" s="23"/>
      <c r="L678" s="11"/>
      <c r="M678" s="38"/>
      <c r="N678" s="38"/>
      <c r="O678" s="36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  <c r="AL678" s="38"/>
      <c r="AM678" s="38"/>
      <c r="AN678" s="38"/>
    </row>
    <row r="679" spans="5:40" x14ac:dyDescent="0.25">
      <c r="E679" s="23"/>
      <c r="F679" s="23"/>
      <c r="G679" s="23"/>
      <c r="H679" s="23"/>
      <c r="L679" s="11"/>
      <c r="M679" s="38"/>
      <c r="N679" s="38"/>
      <c r="O679" s="36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  <c r="AL679" s="38"/>
      <c r="AM679" s="38"/>
      <c r="AN679" s="38"/>
    </row>
    <row r="680" spans="5:40" x14ac:dyDescent="0.25">
      <c r="E680" s="23"/>
      <c r="F680" s="23"/>
      <c r="G680" s="23"/>
      <c r="H680" s="23"/>
      <c r="L680" s="11"/>
      <c r="M680" s="38"/>
      <c r="N680" s="38"/>
      <c r="O680" s="36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  <c r="AL680" s="38"/>
      <c r="AM680" s="38"/>
      <c r="AN680" s="38"/>
    </row>
    <row r="681" spans="5:40" x14ac:dyDescent="0.25">
      <c r="E681" s="23"/>
      <c r="F681" s="23"/>
      <c r="G681" s="23"/>
      <c r="H681" s="23"/>
      <c r="L681" s="11"/>
      <c r="M681" s="38"/>
      <c r="N681" s="38"/>
      <c r="O681" s="36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  <c r="AL681" s="38"/>
      <c r="AM681" s="38"/>
      <c r="AN681" s="38"/>
    </row>
    <row r="682" spans="5:40" x14ac:dyDescent="0.25">
      <c r="E682" s="23"/>
      <c r="F682" s="23"/>
      <c r="G682" s="23"/>
      <c r="H682" s="23"/>
      <c r="L682" s="11"/>
      <c r="M682" s="38"/>
      <c r="N682" s="38"/>
      <c r="O682" s="36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  <c r="AL682" s="38"/>
      <c r="AM682" s="38"/>
      <c r="AN682" s="38"/>
    </row>
    <row r="683" spans="5:40" x14ac:dyDescent="0.25">
      <c r="E683" s="23"/>
      <c r="F683" s="23"/>
      <c r="G683" s="23"/>
      <c r="H683" s="23"/>
      <c r="L683" s="11"/>
      <c r="M683" s="38"/>
      <c r="N683" s="38"/>
      <c r="O683" s="36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  <c r="AL683" s="38"/>
      <c r="AM683" s="38"/>
      <c r="AN683" s="38"/>
    </row>
    <row r="684" spans="5:40" x14ac:dyDescent="0.25">
      <c r="E684" s="23"/>
      <c r="F684" s="23"/>
      <c r="G684" s="23"/>
      <c r="H684" s="23"/>
      <c r="L684" s="11"/>
      <c r="M684" s="38"/>
      <c r="N684" s="38"/>
      <c r="O684" s="36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  <c r="AL684" s="38"/>
      <c r="AM684" s="38"/>
      <c r="AN684" s="38"/>
    </row>
    <row r="685" spans="5:40" x14ac:dyDescent="0.25">
      <c r="E685" s="23"/>
      <c r="F685" s="23"/>
      <c r="G685" s="23"/>
      <c r="H685" s="23"/>
      <c r="L685" s="11"/>
      <c r="M685" s="38"/>
      <c r="N685" s="38"/>
      <c r="O685" s="36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  <c r="AL685" s="38"/>
      <c r="AM685" s="38"/>
      <c r="AN685" s="38"/>
    </row>
    <row r="686" spans="5:40" x14ac:dyDescent="0.25">
      <c r="E686" s="23"/>
      <c r="F686" s="23"/>
      <c r="G686" s="23"/>
      <c r="H686" s="23"/>
      <c r="L686" s="11"/>
      <c r="M686" s="38"/>
      <c r="N686" s="38"/>
      <c r="O686" s="36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  <c r="AL686" s="38"/>
      <c r="AM686" s="38"/>
      <c r="AN686" s="38"/>
    </row>
    <row r="687" spans="5:40" x14ac:dyDescent="0.25">
      <c r="E687" s="23"/>
      <c r="F687" s="23"/>
      <c r="G687" s="23"/>
      <c r="H687" s="23"/>
      <c r="L687" s="11"/>
      <c r="M687" s="38"/>
      <c r="N687" s="38"/>
      <c r="O687" s="36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  <c r="AL687" s="38"/>
      <c r="AM687" s="38"/>
      <c r="AN687" s="38"/>
    </row>
    <row r="688" spans="5:40" x14ac:dyDescent="0.25">
      <c r="E688" s="23"/>
      <c r="F688" s="23"/>
      <c r="G688" s="23"/>
      <c r="H688" s="23"/>
      <c r="L688" s="11"/>
      <c r="M688" s="38"/>
      <c r="N688" s="38"/>
      <c r="O688" s="36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  <c r="AL688" s="38"/>
      <c r="AM688" s="38"/>
      <c r="AN688" s="38"/>
    </row>
    <row r="689" spans="5:40" x14ac:dyDescent="0.25">
      <c r="E689" s="23"/>
      <c r="F689" s="23"/>
      <c r="G689" s="23"/>
      <c r="H689" s="23"/>
      <c r="L689" s="11"/>
      <c r="M689" s="38"/>
      <c r="N689" s="38"/>
      <c r="O689" s="36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  <c r="AL689" s="38"/>
      <c r="AM689" s="38"/>
      <c r="AN689" s="38"/>
    </row>
    <row r="690" spans="5:40" x14ac:dyDescent="0.25">
      <c r="E690" s="23"/>
      <c r="F690" s="23"/>
      <c r="G690" s="23"/>
      <c r="H690" s="23"/>
      <c r="L690" s="11"/>
      <c r="M690" s="38"/>
      <c r="N690" s="38"/>
      <c r="O690" s="36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  <c r="AL690" s="38"/>
      <c r="AM690" s="38"/>
      <c r="AN690" s="38"/>
    </row>
    <row r="691" spans="5:40" x14ac:dyDescent="0.25">
      <c r="E691" s="23"/>
      <c r="F691" s="23"/>
      <c r="G691" s="23"/>
      <c r="H691" s="23"/>
      <c r="L691" s="11"/>
      <c r="M691" s="38"/>
      <c r="N691" s="38"/>
      <c r="O691" s="36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  <c r="AL691" s="38"/>
      <c r="AM691" s="38"/>
      <c r="AN691" s="38"/>
    </row>
    <row r="692" spans="5:40" x14ac:dyDescent="0.25">
      <c r="E692" s="23"/>
      <c r="F692" s="23"/>
      <c r="G692" s="23"/>
      <c r="H692" s="23"/>
      <c r="L692" s="11"/>
      <c r="M692" s="38"/>
      <c r="N692" s="38"/>
      <c r="O692" s="36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  <c r="AL692" s="38"/>
      <c r="AM692" s="38"/>
      <c r="AN692" s="38"/>
    </row>
    <row r="693" spans="5:40" x14ac:dyDescent="0.25">
      <c r="E693" s="23"/>
      <c r="F693" s="23"/>
      <c r="G693" s="23"/>
      <c r="H693" s="23"/>
      <c r="L693" s="11"/>
      <c r="M693" s="38"/>
      <c r="N693" s="38"/>
      <c r="O693" s="36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  <c r="AL693" s="38"/>
      <c r="AM693" s="38"/>
      <c r="AN693" s="38"/>
    </row>
    <row r="694" spans="5:40" x14ac:dyDescent="0.25">
      <c r="E694" s="23"/>
      <c r="F694" s="23"/>
      <c r="G694" s="23"/>
      <c r="H694" s="23"/>
      <c r="L694" s="11"/>
      <c r="M694" s="38"/>
      <c r="N694" s="38"/>
      <c r="O694" s="36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  <c r="AL694" s="38"/>
      <c r="AM694" s="38"/>
      <c r="AN694" s="38"/>
    </row>
    <row r="695" spans="5:40" x14ac:dyDescent="0.25">
      <c r="E695" s="23"/>
      <c r="F695" s="23"/>
      <c r="G695" s="23"/>
      <c r="H695" s="23"/>
      <c r="L695" s="11"/>
      <c r="M695" s="38"/>
      <c r="N695" s="38"/>
      <c r="O695" s="36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  <c r="AL695" s="38"/>
      <c r="AM695" s="38"/>
      <c r="AN695" s="38"/>
    </row>
    <row r="696" spans="5:40" x14ac:dyDescent="0.25">
      <c r="E696" s="23"/>
      <c r="F696" s="23"/>
      <c r="G696" s="23"/>
      <c r="H696" s="23"/>
      <c r="L696" s="11"/>
      <c r="M696" s="38"/>
      <c r="N696" s="38"/>
      <c r="O696" s="36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  <c r="AL696" s="38"/>
      <c r="AM696" s="38"/>
      <c r="AN696" s="38"/>
    </row>
    <row r="697" spans="5:40" x14ac:dyDescent="0.25">
      <c r="E697" s="23"/>
      <c r="F697" s="23"/>
      <c r="G697" s="23"/>
      <c r="H697" s="23"/>
      <c r="L697" s="11"/>
      <c r="M697" s="38"/>
      <c r="N697" s="38"/>
      <c r="O697" s="36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  <c r="AL697" s="38"/>
      <c r="AM697" s="38"/>
      <c r="AN697" s="38"/>
    </row>
    <row r="698" spans="5:40" x14ac:dyDescent="0.25">
      <c r="E698" s="23"/>
      <c r="F698" s="23"/>
      <c r="G698" s="23"/>
      <c r="H698" s="23"/>
      <c r="L698" s="11"/>
      <c r="M698" s="38"/>
      <c r="N698" s="38"/>
      <c r="O698" s="36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  <c r="AL698" s="38"/>
      <c r="AM698" s="38"/>
      <c r="AN698" s="38"/>
    </row>
    <row r="699" spans="5:40" x14ac:dyDescent="0.25">
      <c r="E699" s="23"/>
      <c r="F699" s="23"/>
      <c r="G699" s="23"/>
      <c r="H699" s="23"/>
      <c r="L699" s="11"/>
      <c r="M699" s="38"/>
      <c r="N699" s="38"/>
      <c r="O699" s="36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  <c r="AL699" s="38"/>
      <c r="AM699" s="38"/>
      <c r="AN699" s="38"/>
    </row>
    <row r="700" spans="5:40" x14ac:dyDescent="0.25">
      <c r="E700" s="23"/>
      <c r="F700" s="23"/>
      <c r="G700" s="23"/>
      <c r="H700" s="23"/>
      <c r="L700" s="11"/>
      <c r="M700" s="38"/>
      <c r="N700" s="38"/>
      <c r="O700" s="36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  <c r="AL700" s="38"/>
      <c r="AM700" s="38"/>
      <c r="AN700" s="38"/>
    </row>
    <row r="701" spans="5:40" x14ac:dyDescent="0.25">
      <c r="E701" s="23"/>
      <c r="F701" s="23"/>
      <c r="G701" s="23"/>
      <c r="H701" s="23"/>
      <c r="L701" s="11"/>
      <c r="M701" s="38"/>
      <c r="N701" s="38"/>
      <c r="O701" s="36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  <c r="AL701" s="38"/>
      <c r="AM701" s="38"/>
      <c r="AN701" s="38"/>
    </row>
    <row r="702" spans="5:40" x14ac:dyDescent="0.25">
      <c r="E702" s="23"/>
      <c r="F702" s="23"/>
      <c r="G702" s="23"/>
      <c r="H702" s="23"/>
      <c r="L702" s="11"/>
      <c r="M702" s="38"/>
      <c r="N702" s="38"/>
      <c r="O702" s="36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  <c r="AL702" s="38"/>
      <c r="AM702" s="38"/>
      <c r="AN702" s="38"/>
    </row>
    <row r="703" spans="5:40" x14ac:dyDescent="0.25">
      <c r="E703" s="23"/>
      <c r="F703" s="23"/>
      <c r="G703" s="23"/>
      <c r="H703" s="23"/>
      <c r="L703" s="11"/>
      <c r="M703" s="38"/>
      <c r="N703" s="38"/>
      <c r="O703" s="36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  <c r="AL703" s="38"/>
      <c r="AM703" s="38"/>
      <c r="AN703" s="38"/>
    </row>
    <row r="704" spans="5:40" x14ac:dyDescent="0.25">
      <c r="E704" s="23"/>
      <c r="F704" s="23"/>
      <c r="G704" s="23"/>
      <c r="H704" s="23"/>
      <c r="L704" s="11"/>
      <c r="M704" s="38"/>
      <c r="N704" s="38"/>
      <c r="O704" s="36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  <c r="AL704" s="38"/>
      <c r="AM704" s="38"/>
      <c r="AN704" s="38"/>
    </row>
    <row r="705" spans="5:40" x14ac:dyDescent="0.25">
      <c r="E705" s="23"/>
      <c r="F705" s="23"/>
      <c r="G705" s="23"/>
      <c r="H705" s="23"/>
      <c r="L705" s="11"/>
      <c r="M705" s="38"/>
      <c r="N705" s="38"/>
      <c r="O705" s="36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  <c r="AL705" s="38"/>
      <c r="AM705" s="38"/>
      <c r="AN705" s="38"/>
    </row>
    <row r="706" spans="5:40" x14ac:dyDescent="0.25">
      <c r="E706" s="23"/>
      <c r="F706" s="23"/>
      <c r="G706" s="23"/>
      <c r="H706" s="23"/>
      <c r="L706" s="11"/>
      <c r="M706" s="38"/>
      <c r="N706" s="38"/>
      <c r="O706" s="36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  <c r="AL706" s="38"/>
      <c r="AM706" s="38"/>
      <c r="AN706" s="38"/>
    </row>
    <row r="707" spans="5:40" x14ac:dyDescent="0.25">
      <c r="E707" s="23"/>
      <c r="F707" s="23"/>
      <c r="G707" s="23"/>
      <c r="H707" s="23"/>
      <c r="L707" s="11"/>
      <c r="M707" s="38"/>
      <c r="N707" s="38"/>
      <c r="O707" s="36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  <c r="AL707" s="38"/>
      <c r="AM707" s="38"/>
      <c r="AN707" s="38"/>
    </row>
    <row r="708" spans="5:40" x14ac:dyDescent="0.25">
      <c r="E708" s="23"/>
      <c r="F708" s="23"/>
      <c r="G708" s="23"/>
      <c r="H708" s="23"/>
      <c r="L708" s="11"/>
      <c r="M708" s="38"/>
      <c r="N708" s="38"/>
      <c r="O708" s="36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  <c r="AL708" s="38"/>
      <c r="AM708" s="38"/>
      <c r="AN708" s="38"/>
    </row>
    <row r="709" spans="5:40" x14ac:dyDescent="0.25">
      <c r="E709" s="23"/>
      <c r="F709" s="23"/>
      <c r="G709" s="23"/>
      <c r="H709" s="23"/>
      <c r="L709" s="11"/>
      <c r="M709" s="38"/>
      <c r="N709" s="38"/>
      <c r="O709" s="36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  <c r="AL709" s="38"/>
      <c r="AM709" s="38"/>
      <c r="AN709" s="38"/>
    </row>
    <row r="710" spans="5:40" x14ac:dyDescent="0.25">
      <c r="E710" s="23"/>
      <c r="F710" s="23"/>
      <c r="G710" s="23"/>
      <c r="H710" s="23"/>
      <c r="L710" s="11"/>
      <c r="M710" s="38"/>
      <c r="N710" s="38"/>
      <c r="O710" s="36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  <c r="AL710" s="38"/>
      <c r="AM710" s="38"/>
      <c r="AN710" s="38"/>
    </row>
    <row r="711" spans="5:40" x14ac:dyDescent="0.25">
      <c r="E711" s="23"/>
      <c r="F711" s="23"/>
      <c r="G711" s="23"/>
      <c r="H711" s="23"/>
      <c r="L711" s="11"/>
      <c r="M711" s="38"/>
      <c r="N711" s="38"/>
      <c r="O711" s="36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  <c r="AL711" s="38"/>
      <c r="AM711" s="38"/>
      <c r="AN711" s="38"/>
    </row>
    <row r="712" spans="5:40" x14ac:dyDescent="0.25">
      <c r="E712" s="23"/>
      <c r="F712" s="23"/>
      <c r="G712" s="23"/>
      <c r="H712" s="23"/>
      <c r="L712" s="11"/>
      <c r="M712" s="38"/>
      <c r="N712" s="38"/>
      <c r="O712" s="36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  <c r="AL712" s="38"/>
      <c r="AM712" s="38"/>
      <c r="AN712" s="38"/>
    </row>
    <row r="713" spans="5:40" x14ac:dyDescent="0.25">
      <c r="E713" s="23"/>
      <c r="F713" s="23"/>
      <c r="G713" s="23"/>
      <c r="H713" s="23"/>
      <c r="L713" s="11"/>
      <c r="M713" s="38"/>
      <c r="N713" s="38"/>
      <c r="O713" s="36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  <c r="AL713" s="38"/>
      <c r="AM713" s="38"/>
      <c r="AN713" s="38"/>
    </row>
    <row r="714" spans="5:40" x14ac:dyDescent="0.25">
      <c r="E714" s="23"/>
      <c r="F714" s="23"/>
      <c r="G714" s="23"/>
      <c r="H714" s="23"/>
      <c r="L714" s="11"/>
      <c r="M714" s="38"/>
      <c r="N714" s="38"/>
      <c r="O714" s="36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  <c r="AK714" s="38"/>
      <c r="AL714" s="38"/>
      <c r="AM714" s="38"/>
      <c r="AN714" s="38"/>
    </row>
    <row r="715" spans="5:40" x14ac:dyDescent="0.25">
      <c r="E715" s="23"/>
      <c r="F715" s="23"/>
      <c r="G715" s="23"/>
      <c r="H715" s="23"/>
      <c r="L715" s="11"/>
      <c r="M715" s="38"/>
      <c r="N715" s="38"/>
      <c r="O715" s="36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  <c r="AK715" s="38"/>
      <c r="AL715" s="38"/>
      <c r="AM715" s="38"/>
      <c r="AN715" s="38"/>
    </row>
    <row r="716" spans="5:40" x14ac:dyDescent="0.25">
      <c r="E716" s="23"/>
      <c r="F716" s="23"/>
      <c r="G716" s="23"/>
      <c r="H716" s="23"/>
      <c r="L716" s="11"/>
      <c r="M716" s="38"/>
      <c r="N716" s="38"/>
      <c r="O716" s="36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  <c r="AK716" s="38"/>
      <c r="AL716" s="38"/>
      <c r="AM716" s="38"/>
      <c r="AN716" s="38"/>
    </row>
    <row r="717" spans="5:40" x14ac:dyDescent="0.25">
      <c r="E717" s="23"/>
      <c r="F717" s="23"/>
      <c r="G717" s="23"/>
      <c r="H717" s="23"/>
      <c r="L717" s="11"/>
      <c r="M717" s="38"/>
      <c r="N717" s="38"/>
      <c r="O717" s="36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  <c r="AK717" s="38"/>
      <c r="AL717" s="38"/>
      <c r="AM717" s="38"/>
      <c r="AN717" s="38"/>
    </row>
    <row r="718" spans="5:40" x14ac:dyDescent="0.25">
      <c r="E718" s="23"/>
      <c r="F718" s="23"/>
      <c r="G718" s="23"/>
      <c r="H718" s="23"/>
      <c r="L718" s="11"/>
      <c r="M718" s="38"/>
      <c r="N718" s="38"/>
      <c r="O718" s="36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  <c r="AK718" s="38"/>
      <c r="AL718" s="38"/>
      <c r="AM718" s="38"/>
      <c r="AN718" s="38"/>
    </row>
    <row r="719" spans="5:40" x14ac:dyDescent="0.25">
      <c r="E719" s="23"/>
      <c r="F719" s="23"/>
      <c r="G719" s="23"/>
      <c r="H719" s="23"/>
      <c r="L719" s="11"/>
      <c r="M719" s="38"/>
      <c r="N719" s="38"/>
      <c r="O719" s="36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  <c r="AK719" s="38"/>
      <c r="AL719" s="38"/>
      <c r="AM719" s="38"/>
      <c r="AN719" s="38"/>
    </row>
    <row r="720" spans="5:40" x14ac:dyDescent="0.25">
      <c r="E720" s="23"/>
      <c r="F720" s="23"/>
      <c r="G720" s="23"/>
      <c r="H720" s="23"/>
      <c r="L720" s="11"/>
      <c r="M720" s="38"/>
      <c r="N720" s="38"/>
      <c r="O720" s="36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  <c r="AK720" s="38"/>
      <c r="AL720" s="38"/>
      <c r="AM720" s="38"/>
      <c r="AN720" s="38"/>
    </row>
    <row r="721" spans="5:40" x14ac:dyDescent="0.25">
      <c r="E721" s="23"/>
      <c r="F721" s="23"/>
      <c r="G721" s="23"/>
      <c r="H721" s="23"/>
      <c r="L721" s="11"/>
      <c r="M721" s="38"/>
      <c r="N721" s="38"/>
      <c r="O721" s="36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  <c r="AK721" s="38"/>
      <c r="AL721" s="38"/>
      <c r="AM721" s="38"/>
      <c r="AN721" s="38"/>
    </row>
    <row r="722" spans="5:40" x14ac:dyDescent="0.25">
      <c r="E722" s="23"/>
      <c r="F722" s="23"/>
      <c r="G722" s="23"/>
      <c r="H722" s="23"/>
      <c r="L722" s="11"/>
      <c r="M722" s="38"/>
      <c r="N722" s="38"/>
      <c r="O722" s="36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  <c r="AK722" s="38"/>
      <c r="AL722" s="38"/>
      <c r="AM722" s="38"/>
      <c r="AN722" s="38"/>
    </row>
    <row r="723" spans="5:40" x14ac:dyDescent="0.25">
      <c r="E723" s="23"/>
      <c r="F723" s="23"/>
      <c r="G723" s="23"/>
      <c r="H723" s="23"/>
      <c r="L723" s="11"/>
      <c r="M723" s="38"/>
      <c r="N723" s="38"/>
      <c r="O723" s="36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  <c r="AK723" s="38"/>
      <c r="AL723" s="38"/>
      <c r="AM723" s="38"/>
      <c r="AN723" s="38"/>
    </row>
    <row r="724" spans="5:40" x14ac:dyDescent="0.25">
      <c r="E724" s="23"/>
      <c r="F724" s="23"/>
      <c r="G724" s="23"/>
      <c r="H724" s="23"/>
      <c r="L724" s="11"/>
      <c r="M724" s="38"/>
      <c r="N724" s="38"/>
      <c r="O724" s="36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  <c r="AK724" s="38"/>
      <c r="AL724" s="38"/>
      <c r="AM724" s="38"/>
      <c r="AN724" s="38"/>
    </row>
    <row r="725" spans="5:40" x14ac:dyDescent="0.25">
      <c r="E725" s="23"/>
      <c r="F725" s="23"/>
      <c r="G725" s="23"/>
      <c r="H725" s="23"/>
      <c r="L725" s="11"/>
      <c r="M725" s="38"/>
      <c r="N725" s="38"/>
      <c r="O725" s="36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  <c r="AK725" s="38"/>
      <c r="AL725" s="38"/>
      <c r="AM725" s="38"/>
      <c r="AN725" s="38"/>
    </row>
    <row r="726" spans="5:40" x14ac:dyDescent="0.25">
      <c r="E726" s="23"/>
      <c r="F726" s="23"/>
      <c r="G726" s="23"/>
      <c r="H726" s="23"/>
      <c r="L726" s="11"/>
      <c r="M726" s="38"/>
      <c r="N726" s="38"/>
      <c r="O726" s="36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  <c r="AK726" s="38"/>
      <c r="AL726" s="38"/>
      <c r="AM726" s="38"/>
      <c r="AN726" s="38"/>
    </row>
    <row r="727" spans="5:40" x14ac:dyDescent="0.25">
      <c r="E727" s="23"/>
      <c r="F727" s="23"/>
      <c r="G727" s="23"/>
      <c r="H727" s="23"/>
      <c r="L727" s="11"/>
      <c r="M727" s="38"/>
      <c r="N727" s="38"/>
      <c r="O727" s="36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  <c r="AK727" s="38"/>
      <c r="AL727" s="38"/>
      <c r="AM727" s="38"/>
      <c r="AN727" s="38"/>
    </row>
    <row r="728" spans="5:40" x14ac:dyDescent="0.25">
      <c r="E728" s="23"/>
      <c r="F728" s="23"/>
      <c r="G728" s="23"/>
      <c r="H728" s="23"/>
      <c r="L728" s="11"/>
      <c r="M728" s="38"/>
      <c r="N728" s="38"/>
      <c r="O728" s="36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  <c r="AK728" s="38"/>
      <c r="AL728" s="38"/>
      <c r="AM728" s="38"/>
      <c r="AN728" s="38"/>
    </row>
    <row r="729" spans="5:40" x14ac:dyDescent="0.25">
      <c r="E729" s="23"/>
      <c r="F729" s="23"/>
      <c r="G729" s="23"/>
      <c r="H729" s="23"/>
      <c r="L729" s="11"/>
      <c r="M729" s="38"/>
      <c r="N729" s="38"/>
      <c r="O729" s="36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  <c r="AK729" s="38"/>
      <c r="AL729" s="38"/>
      <c r="AM729" s="38"/>
      <c r="AN729" s="38"/>
    </row>
    <row r="730" spans="5:40" x14ac:dyDescent="0.25">
      <c r="E730" s="23"/>
      <c r="F730" s="23"/>
      <c r="G730" s="23"/>
      <c r="H730" s="23"/>
      <c r="L730" s="11"/>
      <c r="M730" s="38"/>
      <c r="N730" s="38"/>
      <c r="O730" s="36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  <c r="AK730" s="38"/>
      <c r="AL730" s="38"/>
      <c r="AM730" s="38"/>
      <c r="AN730" s="38"/>
    </row>
    <row r="731" spans="5:40" x14ac:dyDescent="0.25">
      <c r="E731" s="23"/>
      <c r="F731" s="23"/>
      <c r="G731" s="23"/>
      <c r="H731" s="23"/>
      <c r="L731" s="11"/>
      <c r="M731" s="38"/>
      <c r="N731" s="38"/>
      <c r="O731" s="36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  <c r="AK731" s="38"/>
      <c r="AL731" s="38"/>
      <c r="AM731" s="38"/>
      <c r="AN731" s="38"/>
    </row>
    <row r="732" spans="5:40" x14ac:dyDescent="0.25">
      <c r="E732" s="23"/>
      <c r="F732" s="23"/>
      <c r="G732" s="23"/>
      <c r="H732" s="23"/>
      <c r="L732" s="11"/>
      <c r="M732" s="38"/>
      <c r="N732" s="38"/>
      <c r="O732" s="36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  <c r="AK732" s="38"/>
      <c r="AL732" s="38"/>
      <c r="AM732" s="38"/>
      <c r="AN732" s="38"/>
    </row>
    <row r="733" spans="5:40" x14ac:dyDescent="0.25">
      <c r="E733" s="23"/>
      <c r="F733" s="23"/>
      <c r="G733" s="23"/>
      <c r="H733" s="23"/>
      <c r="L733" s="11"/>
      <c r="M733" s="38"/>
      <c r="N733" s="38"/>
      <c r="O733" s="36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  <c r="AK733" s="38"/>
      <c r="AL733" s="38"/>
      <c r="AM733" s="38"/>
      <c r="AN733" s="38"/>
    </row>
    <row r="734" spans="5:40" x14ac:dyDescent="0.25">
      <c r="E734" s="23"/>
      <c r="F734" s="23"/>
      <c r="G734" s="23"/>
      <c r="H734" s="23"/>
      <c r="L734" s="11"/>
      <c r="M734" s="38"/>
      <c r="N734" s="38"/>
      <c r="O734" s="36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  <c r="AK734" s="38"/>
      <c r="AL734" s="38"/>
      <c r="AM734" s="38"/>
      <c r="AN734" s="38"/>
    </row>
    <row r="735" spans="5:40" x14ac:dyDescent="0.25">
      <c r="E735" s="23"/>
      <c r="F735" s="23"/>
      <c r="G735" s="23"/>
      <c r="H735" s="23"/>
      <c r="L735" s="11"/>
      <c r="M735" s="38"/>
      <c r="N735" s="38"/>
      <c r="O735" s="36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  <c r="AK735" s="38"/>
      <c r="AL735" s="38"/>
      <c r="AM735" s="38"/>
      <c r="AN735" s="38"/>
    </row>
    <row r="736" spans="5:40" x14ac:dyDescent="0.25">
      <c r="E736" s="23"/>
      <c r="F736" s="23"/>
      <c r="G736" s="23"/>
      <c r="H736" s="23"/>
      <c r="L736" s="11"/>
      <c r="M736" s="38"/>
      <c r="N736" s="38"/>
      <c r="O736" s="36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  <c r="AK736" s="38"/>
      <c r="AL736" s="38"/>
      <c r="AM736" s="38"/>
      <c r="AN736" s="38"/>
    </row>
    <row r="737" spans="5:40" x14ac:dyDescent="0.25">
      <c r="E737" s="23"/>
      <c r="F737" s="23"/>
      <c r="G737" s="23"/>
      <c r="H737" s="23"/>
      <c r="L737" s="11"/>
      <c r="M737" s="38"/>
      <c r="N737" s="38"/>
      <c r="O737" s="36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  <c r="AK737" s="38"/>
      <c r="AL737" s="38"/>
      <c r="AM737" s="38"/>
      <c r="AN737" s="38"/>
    </row>
    <row r="738" spans="5:40" x14ac:dyDescent="0.25">
      <c r="E738" s="23"/>
      <c r="F738" s="23"/>
      <c r="G738" s="23"/>
      <c r="H738" s="23"/>
      <c r="L738" s="11"/>
      <c r="M738" s="38"/>
      <c r="N738" s="38"/>
      <c r="O738" s="36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  <c r="AK738" s="38"/>
      <c r="AL738" s="38"/>
      <c r="AM738" s="38"/>
      <c r="AN738" s="38"/>
    </row>
    <row r="739" spans="5:40" x14ac:dyDescent="0.25">
      <c r="E739" s="23"/>
      <c r="F739" s="23"/>
      <c r="G739" s="23"/>
      <c r="H739" s="23"/>
      <c r="L739" s="11"/>
      <c r="M739" s="38"/>
      <c r="N739" s="38"/>
      <c r="O739" s="36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  <c r="AK739" s="38"/>
      <c r="AL739" s="38"/>
      <c r="AM739" s="38"/>
      <c r="AN739" s="38"/>
    </row>
    <row r="740" spans="5:40" x14ac:dyDescent="0.25">
      <c r="E740" s="23"/>
      <c r="F740" s="23"/>
      <c r="G740" s="23"/>
      <c r="H740" s="23"/>
      <c r="L740" s="11"/>
      <c r="M740" s="38"/>
      <c r="N740" s="38"/>
      <c r="O740" s="36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  <c r="AK740" s="38"/>
      <c r="AL740" s="38"/>
      <c r="AM740" s="38"/>
      <c r="AN740" s="38"/>
    </row>
    <row r="741" spans="5:40" x14ac:dyDescent="0.25">
      <c r="E741" s="23"/>
      <c r="F741" s="23"/>
      <c r="G741" s="23"/>
      <c r="H741" s="23"/>
      <c r="L741" s="11"/>
      <c r="M741" s="38"/>
      <c r="N741" s="38"/>
      <c r="O741" s="36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  <c r="AK741" s="38"/>
      <c r="AL741" s="38"/>
      <c r="AM741" s="38"/>
      <c r="AN741" s="38"/>
    </row>
    <row r="742" spans="5:40" x14ac:dyDescent="0.25">
      <c r="E742" s="23"/>
      <c r="F742" s="23"/>
      <c r="G742" s="23"/>
      <c r="H742" s="23"/>
      <c r="L742" s="11"/>
      <c r="M742" s="38"/>
      <c r="N742" s="38"/>
      <c r="O742" s="36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  <c r="AK742" s="38"/>
      <c r="AL742" s="38"/>
      <c r="AM742" s="38"/>
      <c r="AN742" s="38"/>
    </row>
    <row r="743" spans="5:40" x14ac:dyDescent="0.25">
      <c r="E743" s="23"/>
      <c r="F743" s="23"/>
      <c r="G743" s="23"/>
      <c r="H743" s="23"/>
      <c r="L743" s="11"/>
      <c r="M743" s="38"/>
      <c r="N743" s="38"/>
      <c r="O743" s="36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  <c r="AK743" s="38"/>
      <c r="AL743" s="38"/>
      <c r="AM743" s="38"/>
      <c r="AN743" s="38"/>
    </row>
    <row r="744" spans="5:40" x14ac:dyDescent="0.25">
      <c r="E744" s="23"/>
      <c r="F744" s="23"/>
      <c r="G744" s="23"/>
      <c r="H744" s="23"/>
      <c r="L744" s="11"/>
      <c r="M744" s="38"/>
      <c r="N744" s="38"/>
      <c r="O744" s="36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  <c r="AK744" s="38"/>
      <c r="AL744" s="38"/>
      <c r="AM744" s="38"/>
      <c r="AN744" s="38"/>
    </row>
    <row r="745" spans="5:40" x14ac:dyDescent="0.25">
      <c r="E745" s="23"/>
      <c r="F745" s="23"/>
      <c r="G745" s="23"/>
      <c r="H745" s="23"/>
      <c r="L745" s="11"/>
      <c r="M745" s="38"/>
      <c r="N745" s="38"/>
      <c r="O745" s="36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  <c r="AK745" s="38"/>
      <c r="AL745" s="38"/>
      <c r="AM745" s="38"/>
      <c r="AN745" s="38"/>
    </row>
    <row r="746" spans="5:40" x14ac:dyDescent="0.25">
      <c r="E746" s="23"/>
      <c r="F746" s="23"/>
      <c r="G746" s="23"/>
      <c r="H746" s="23"/>
      <c r="L746" s="11"/>
      <c r="M746" s="38"/>
      <c r="N746" s="38"/>
      <c r="O746" s="36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  <c r="AK746" s="38"/>
      <c r="AL746" s="38"/>
      <c r="AM746" s="38"/>
      <c r="AN746" s="38"/>
    </row>
    <row r="747" spans="5:40" x14ac:dyDescent="0.25">
      <c r="E747" s="23"/>
      <c r="F747" s="23"/>
      <c r="G747" s="23"/>
      <c r="H747" s="23"/>
      <c r="L747" s="11"/>
      <c r="M747" s="38"/>
      <c r="N747" s="38"/>
      <c r="O747" s="36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  <c r="AK747" s="38"/>
      <c r="AL747" s="38"/>
      <c r="AM747" s="38"/>
      <c r="AN747" s="38"/>
    </row>
    <row r="748" spans="5:40" x14ac:dyDescent="0.25">
      <c r="E748" s="23"/>
      <c r="F748" s="23"/>
      <c r="G748" s="23"/>
      <c r="H748" s="23"/>
      <c r="L748" s="11"/>
      <c r="M748" s="38"/>
      <c r="N748" s="38"/>
      <c r="O748" s="36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  <c r="AK748" s="38"/>
      <c r="AL748" s="38"/>
      <c r="AM748" s="38"/>
      <c r="AN748" s="38"/>
    </row>
    <row r="749" spans="5:40" x14ac:dyDescent="0.25">
      <c r="E749" s="23"/>
      <c r="F749" s="23"/>
      <c r="G749" s="23"/>
      <c r="H749" s="23"/>
      <c r="L749" s="11"/>
      <c r="M749" s="38"/>
      <c r="N749" s="38"/>
      <c r="O749" s="36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  <c r="AK749" s="38"/>
      <c r="AL749" s="38"/>
      <c r="AM749" s="38"/>
      <c r="AN749" s="38"/>
    </row>
    <row r="750" spans="5:40" x14ac:dyDescent="0.25">
      <c r="E750" s="23"/>
      <c r="F750" s="23"/>
      <c r="G750" s="23"/>
      <c r="H750" s="23"/>
      <c r="L750" s="11"/>
      <c r="M750" s="13"/>
      <c r="N750" s="13"/>
      <c r="O750" s="36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</row>
    <row r="751" spans="5:40" x14ac:dyDescent="0.25">
      <c r="E751" s="23"/>
      <c r="F751" s="23"/>
      <c r="G751" s="23"/>
      <c r="H751" s="23"/>
      <c r="L751" s="11"/>
      <c r="M751" s="13"/>
      <c r="N751" s="13"/>
      <c r="O751" s="36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</row>
    <row r="752" spans="5:40" x14ac:dyDescent="0.25">
      <c r="E752" s="23"/>
      <c r="F752" s="23"/>
      <c r="G752" s="23"/>
      <c r="H752" s="23"/>
      <c r="L752" s="11"/>
      <c r="M752" s="13"/>
      <c r="N752" s="13"/>
      <c r="O752" s="36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</row>
    <row r="753" spans="5:40" x14ac:dyDescent="0.25">
      <c r="E753" s="23"/>
      <c r="F753" s="23"/>
      <c r="G753" s="23"/>
      <c r="H753" s="23"/>
      <c r="L753" s="11"/>
      <c r="M753" s="13"/>
      <c r="N753" s="13"/>
      <c r="O753" s="36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</row>
    <row r="754" spans="5:40" x14ac:dyDescent="0.25">
      <c r="E754" s="23"/>
      <c r="F754" s="23"/>
      <c r="G754" s="23"/>
      <c r="H754" s="23"/>
      <c r="L754" s="11"/>
      <c r="M754" s="13"/>
      <c r="N754" s="13"/>
      <c r="O754" s="36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</row>
    <row r="755" spans="5:40" x14ac:dyDescent="0.25">
      <c r="E755" s="23"/>
      <c r="F755" s="23"/>
      <c r="G755" s="23"/>
      <c r="H755" s="23"/>
      <c r="L755" s="11"/>
      <c r="M755" s="13"/>
      <c r="N755" s="13"/>
      <c r="O755" s="36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</row>
    <row r="756" spans="5:40" x14ac:dyDescent="0.25">
      <c r="E756" s="23"/>
      <c r="F756" s="23"/>
      <c r="G756" s="23"/>
      <c r="H756" s="23"/>
      <c r="L756" s="11"/>
      <c r="M756" s="13"/>
      <c r="N756" s="13"/>
      <c r="O756" s="36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</row>
    <row r="757" spans="5:40" x14ac:dyDescent="0.25">
      <c r="E757" s="23"/>
      <c r="F757" s="23"/>
      <c r="G757" s="23"/>
      <c r="H757" s="23"/>
      <c r="L757" s="11"/>
      <c r="M757" s="13"/>
      <c r="N757" s="13"/>
      <c r="O757" s="36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</row>
    <row r="758" spans="5:40" x14ac:dyDescent="0.25">
      <c r="E758" s="23"/>
      <c r="F758" s="23"/>
      <c r="G758" s="23"/>
      <c r="H758" s="23"/>
      <c r="L758" s="11"/>
      <c r="M758" s="13"/>
      <c r="N758" s="13"/>
      <c r="O758" s="36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</row>
    <row r="759" spans="5:40" x14ac:dyDescent="0.25">
      <c r="E759" s="23"/>
      <c r="F759" s="23"/>
      <c r="G759" s="23"/>
      <c r="H759" s="23"/>
      <c r="L759" s="11"/>
      <c r="M759" s="13"/>
      <c r="N759" s="13"/>
      <c r="O759" s="36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</row>
    <row r="760" spans="5:40" x14ac:dyDescent="0.25">
      <c r="E760" s="23"/>
      <c r="F760" s="23"/>
      <c r="G760" s="23"/>
      <c r="H760" s="23"/>
      <c r="L760" s="11"/>
      <c r="M760" s="13"/>
      <c r="N760" s="13"/>
      <c r="O760" s="36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</row>
    <row r="761" spans="5:40" x14ac:dyDescent="0.25">
      <c r="E761" s="23"/>
      <c r="F761" s="23"/>
      <c r="G761" s="23"/>
      <c r="H761" s="23"/>
      <c r="L761" s="11"/>
      <c r="M761" s="13"/>
      <c r="N761" s="13"/>
      <c r="O761" s="36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</row>
    <row r="762" spans="5:40" x14ac:dyDescent="0.25">
      <c r="E762" s="23"/>
      <c r="F762" s="23"/>
      <c r="G762" s="23"/>
      <c r="H762" s="23"/>
      <c r="L762" s="11"/>
      <c r="M762" s="13"/>
      <c r="N762" s="13"/>
      <c r="O762" s="36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</row>
    <row r="763" spans="5:40" x14ac:dyDescent="0.25">
      <c r="E763" s="23"/>
      <c r="F763" s="23"/>
      <c r="G763" s="23"/>
      <c r="H763" s="23"/>
      <c r="L763" s="11"/>
      <c r="M763" s="13"/>
      <c r="N763" s="13"/>
      <c r="O763" s="36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</row>
    <row r="764" spans="5:40" x14ac:dyDescent="0.25">
      <c r="E764" s="23"/>
      <c r="F764" s="23"/>
      <c r="G764" s="23"/>
      <c r="H764" s="23"/>
      <c r="L764" s="11"/>
      <c r="M764" s="13"/>
      <c r="N764" s="13"/>
      <c r="O764" s="36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</row>
    <row r="765" spans="5:40" x14ac:dyDescent="0.25">
      <c r="E765" s="23"/>
      <c r="F765" s="23"/>
      <c r="G765" s="23"/>
      <c r="H765" s="23"/>
      <c r="L765" s="11"/>
      <c r="M765" s="13"/>
      <c r="N765" s="13"/>
      <c r="O765" s="36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</row>
    <row r="766" spans="5:40" x14ac:dyDescent="0.25">
      <c r="E766" s="23"/>
      <c r="F766" s="23"/>
      <c r="G766" s="23"/>
      <c r="H766" s="23"/>
      <c r="L766" s="11"/>
      <c r="M766" s="13"/>
      <c r="N766" s="13"/>
      <c r="O766" s="36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</row>
    <row r="767" spans="5:40" x14ac:dyDescent="0.25">
      <c r="E767" s="23"/>
      <c r="F767" s="23"/>
      <c r="G767" s="23"/>
      <c r="H767" s="23"/>
      <c r="L767" s="11"/>
      <c r="M767" s="13"/>
      <c r="N767" s="13"/>
      <c r="O767" s="36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</row>
    <row r="768" spans="5:40" x14ac:dyDescent="0.25">
      <c r="E768" s="23"/>
      <c r="F768" s="23"/>
      <c r="G768" s="23"/>
      <c r="H768" s="23"/>
      <c r="L768" s="11"/>
      <c r="M768" s="13"/>
      <c r="N768" s="13"/>
      <c r="O768" s="36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</row>
    <row r="769" spans="5:40" x14ac:dyDescent="0.25">
      <c r="E769" s="23"/>
      <c r="F769" s="23"/>
      <c r="G769" s="23"/>
      <c r="H769" s="23"/>
      <c r="L769" s="11"/>
      <c r="M769" s="13"/>
      <c r="N769" s="13"/>
      <c r="O769" s="36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</row>
    <row r="770" spans="5:40" x14ac:dyDescent="0.25">
      <c r="E770" s="23"/>
      <c r="F770" s="23"/>
      <c r="G770" s="23"/>
      <c r="H770" s="23"/>
      <c r="L770" s="11"/>
      <c r="M770" s="13"/>
      <c r="N770" s="13"/>
      <c r="O770" s="36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</row>
    <row r="771" spans="5:40" x14ac:dyDescent="0.25">
      <c r="E771" s="23"/>
      <c r="F771" s="23"/>
      <c r="G771" s="23"/>
      <c r="H771" s="23"/>
      <c r="L771" s="11"/>
      <c r="M771" s="13"/>
      <c r="N771" s="13"/>
      <c r="O771" s="36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</row>
    <row r="772" spans="5:40" x14ac:dyDescent="0.25">
      <c r="E772" s="23"/>
      <c r="F772" s="23"/>
      <c r="G772" s="23"/>
      <c r="H772" s="23"/>
      <c r="L772" s="11"/>
      <c r="M772" s="13"/>
      <c r="N772" s="13"/>
      <c r="O772" s="36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</row>
    <row r="773" spans="5:40" x14ac:dyDescent="0.25">
      <c r="E773" s="23"/>
      <c r="F773" s="23"/>
      <c r="G773" s="23"/>
      <c r="H773" s="23"/>
      <c r="L773" s="11"/>
      <c r="M773" s="13"/>
      <c r="N773" s="13"/>
      <c r="O773" s="36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</row>
    <row r="774" spans="5:40" x14ac:dyDescent="0.25">
      <c r="E774" s="23"/>
      <c r="F774" s="23"/>
      <c r="G774" s="23"/>
      <c r="H774" s="23"/>
      <c r="L774" s="11"/>
      <c r="M774" s="13"/>
      <c r="N774" s="13"/>
      <c r="O774" s="36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</row>
    <row r="775" spans="5:40" x14ac:dyDescent="0.25">
      <c r="E775" s="23"/>
      <c r="F775" s="23"/>
      <c r="G775" s="23"/>
      <c r="H775" s="23"/>
      <c r="L775" s="11"/>
      <c r="M775" s="13"/>
      <c r="N775" s="13"/>
      <c r="O775" s="36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</row>
    <row r="776" spans="5:40" x14ac:dyDescent="0.25">
      <c r="E776" s="23"/>
      <c r="F776" s="23"/>
      <c r="G776" s="23"/>
      <c r="H776" s="23"/>
      <c r="L776" s="11"/>
      <c r="M776" s="13"/>
      <c r="N776" s="13"/>
      <c r="O776" s="36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</row>
    <row r="777" spans="5:40" x14ac:dyDescent="0.25">
      <c r="E777" s="23"/>
      <c r="F777" s="23"/>
      <c r="G777" s="23"/>
      <c r="H777" s="23"/>
      <c r="L777" s="11"/>
      <c r="M777" s="13"/>
      <c r="N777" s="13"/>
      <c r="O777" s="36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</row>
    <row r="778" spans="5:40" x14ac:dyDescent="0.25">
      <c r="E778" s="23"/>
      <c r="F778" s="23"/>
      <c r="G778" s="23"/>
      <c r="H778" s="23"/>
      <c r="L778" s="11"/>
      <c r="M778" s="13"/>
      <c r="N778" s="13"/>
      <c r="O778" s="36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</row>
    <row r="779" spans="5:40" x14ac:dyDescent="0.25">
      <c r="E779" s="23"/>
      <c r="F779" s="23"/>
      <c r="G779" s="23"/>
      <c r="H779" s="23"/>
      <c r="L779" s="11"/>
      <c r="M779" s="13"/>
      <c r="N779" s="13"/>
      <c r="O779" s="36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</row>
    <row r="780" spans="5:40" x14ac:dyDescent="0.25">
      <c r="E780" s="23"/>
      <c r="F780" s="23"/>
      <c r="G780" s="23"/>
      <c r="H780" s="23"/>
      <c r="L780" s="11"/>
      <c r="M780" s="13"/>
      <c r="N780" s="13"/>
      <c r="O780" s="36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</row>
    <row r="781" spans="5:40" x14ac:dyDescent="0.25">
      <c r="E781" s="23"/>
      <c r="F781" s="23"/>
      <c r="G781" s="23"/>
      <c r="H781" s="23"/>
      <c r="L781" s="11"/>
      <c r="M781" s="13"/>
      <c r="N781" s="13"/>
      <c r="O781" s="36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</row>
    <row r="782" spans="5:40" x14ac:dyDescent="0.25">
      <c r="E782" s="23"/>
      <c r="F782" s="23"/>
      <c r="G782" s="23"/>
      <c r="H782" s="23"/>
      <c r="L782" s="11"/>
      <c r="M782" s="13"/>
      <c r="N782" s="13"/>
      <c r="O782" s="36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</row>
    <row r="783" spans="5:40" x14ac:dyDescent="0.25">
      <c r="E783" s="23"/>
      <c r="F783" s="23"/>
      <c r="G783" s="23"/>
      <c r="H783" s="23"/>
      <c r="L783" s="11"/>
      <c r="M783" s="13"/>
      <c r="N783" s="13"/>
      <c r="O783" s="36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</row>
    <row r="784" spans="5:40" x14ac:dyDescent="0.25">
      <c r="E784" s="23"/>
      <c r="F784" s="23"/>
      <c r="G784" s="23"/>
      <c r="H784" s="23"/>
      <c r="L784" s="11"/>
      <c r="M784" s="13"/>
      <c r="N784" s="13"/>
      <c r="O784" s="36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</row>
    <row r="785" spans="5:40" x14ac:dyDescent="0.25">
      <c r="E785" s="23"/>
      <c r="F785" s="23"/>
      <c r="G785" s="23"/>
      <c r="H785" s="23"/>
      <c r="L785" s="11"/>
      <c r="M785" s="13"/>
      <c r="N785" s="13"/>
      <c r="O785" s="36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</row>
    <row r="786" spans="5:40" x14ac:dyDescent="0.25">
      <c r="E786" s="23"/>
      <c r="F786" s="23"/>
      <c r="G786" s="23"/>
      <c r="H786" s="23"/>
      <c r="L786" s="11"/>
      <c r="M786" s="13"/>
      <c r="N786" s="13"/>
      <c r="O786" s="36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</row>
    <row r="787" spans="5:40" x14ac:dyDescent="0.25">
      <c r="E787" s="23"/>
      <c r="F787" s="23"/>
      <c r="G787" s="23"/>
      <c r="H787" s="23"/>
      <c r="L787" s="11"/>
      <c r="M787" s="13"/>
      <c r="N787" s="13"/>
      <c r="O787" s="36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</row>
    <row r="788" spans="5:40" x14ac:dyDescent="0.25">
      <c r="E788" s="23"/>
      <c r="F788" s="23"/>
      <c r="G788" s="23"/>
      <c r="H788" s="23"/>
      <c r="L788" s="11"/>
      <c r="M788" s="13"/>
      <c r="N788" s="13"/>
      <c r="O788" s="36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</row>
    <row r="789" spans="5:40" x14ac:dyDescent="0.25">
      <c r="E789" s="23"/>
      <c r="F789" s="23"/>
      <c r="G789" s="23"/>
      <c r="H789" s="23"/>
      <c r="L789" s="11"/>
      <c r="M789" s="13"/>
      <c r="N789" s="13"/>
      <c r="O789" s="36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</row>
    <row r="790" spans="5:40" x14ac:dyDescent="0.25">
      <c r="E790" s="23"/>
      <c r="F790" s="23"/>
      <c r="G790" s="23"/>
      <c r="H790" s="23"/>
      <c r="L790" s="11"/>
      <c r="M790" s="13"/>
      <c r="N790" s="13"/>
      <c r="O790" s="36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</row>
    <row r="791" spans="5:40" x14ac:dyDescent="0.25">
      <c r="E791" s="23"/>
      <c r="F791" s="23"/>
      <c r="G791" s="23"/>
      <c r="H791" s="23"/>
      <c r="L791" s="11"/>
      <c r="M791" s="13"/>
      <c r="N791" s="13"/>
      <c r="O791" s="36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</row>
    <row r="792" spans="5:40" x14ac:dyDescent="0.25">
      <c r="E792" s="23"/>
      <c r="F792" s="23"/>
      <c r="G792" s="23"/>
      <c r="H792" s="23"/>
      <c r="L792" s="11"/>
      <c r="M792" s="13"/>
      <c r="N792" s="13"/>
      <c r="O792" s="36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</row>
    <row r="793" spans="5:40" x14ac:dyDescent="0.25">
      <c r="E793" s="23"/>
      <c r="F793" s="23"/>
      <c r="G793" s="23"/>
      <c r="H793" s="23"/>
      <c r="L793" s="11"/>
      <c r="M793" s="13"/>
      <c r="N793" s="13"/>
      <c r="O793" s="36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</row>
    <row r="794" spans="5:40" x14ac:dyDescent="0.25">
      <c r="E794" s="23"/>
      <c r="F794" s="23"/>
      <c r="G794" s="23"/>
      <c r="H794" s="23"/>
      <c r="L794" s="11"/>
      <c r="M794" s="13"/>
      <c r="N794" s="13"/>
      <c r="O794" s="36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</row>
    <row r="795" spans="5:40" x14ac:dyDescent="0.25">
      <c r="E795" s="23"/>
      <c r="F795" s="23"/>
      <c r="G795" s="23"/>
      <c r="H795" s="23"/>
      <c r="L795" s="11"/>
      <c r="M795" s="13"/>
      <c r="N795" s="13"/>
      <c r="O795" s="36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</row>
    <row r="796" spans="5:40" x14ac:dyDescent="0.25">
      <c r="E796" s="23"/>
      <c r="F796" s="23"/>
      <c r="G796" s="23"/>
      <c r="H796" s="23"/>
      <c r="L796" s="11"/>
      <c r="M796" s="13"/>
      <c r="N796" s="13"/>
      <c r="O796" s="36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</row>
    <row r="797" spans="5:40" x14ac:dyDescent="0.25">
      <c r="E797" s="23"/>
      <c r="F797" s="23"/>
      <c r="G797" s="23"/>
      <c r="H797" s="23"/>
      <c r="L797" s="11"/>
      <c r="M797" s="13"/>
      <c r="N797" s="13"/>
      <c r="O797" s="36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</row>
    <row r="798" spans="5:40" x14ac:dyDescent="0.25">
      <c r="E798" s="23"/>
      <c r="F798" s="23"/>
      <c r="G798" s="23"/>
      <c r="H798" s="23"/>
      <c r="L798" s="11"/>
      <c r="M798" s="13"/>
      <c r="N798" s="13"/>
      <c r="O798" s="36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</row>
    <row r="799" spans="5:40" x14ac:dyDescent="0.25">
      <c r="E799" s="23"/>
      <c r="F799" s="23"/>
      <c r="G799" s="23"/>
      <c r="H799" s="23"/>
      <c r="L799" s="11"/>
      <c r="M799" s="13"/>
      <c r="N799" s="13"/>
      <c r="O799" s="36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</row>
    <row r="800" spans="5:40" x14ac:dyDescent="0.25">
      <c r="E800" s="23"/>
      <c r="F800" s="23"/>
      <c r="G800" s="23"/>
      <c r="H800" s="23"/>
      <c r="L800" s="11"/>
      <c r="M800" s="13"/>
      <c r="N800" s="13"/>
      <c r="O800" s="36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</row>
    <row r="801" spans="5:40" x14ac:dyDescent="0.25">
      <c r="E801" s="23"/>
      <c r="F801" s="23"/>
      <c r="G801" s="23"/>
      <c r="H801" s="23"/>
      <c r="L801" s="11"/>
      <c r="M801" s="13"/>
      <c r="N801" s="13"/>
      <c r="O801" s="36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</row>
    <row r="802" spans="5:40" x14ac:dyDescent="0.25">
      <c r="E802" s="23"/>
      <c r="F802" s="23"/>
      <c r="G802" s="23"/>
      <c r="H802" s="23"/>
      <c r="L802" s="11"/>
      <c r="M802" s="13"/>
      <c r="N802" s="13"/>
      <c r="O802" s="36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</row>
    <row r="803" spans="5:40" x14ac:dyDescent="0.25">
      <c r="E803" s="23"/>
      <c r="F803" s="23"/>
      <c r="G803" s="23"/>
      <c r="H803" s="23"/>
      <c r="L803" s="11"/>
      <c r="M803" s="13"/>
      <c r="N803" s="13"/>
      <c r="O803" s="36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</row>
    <row r="804" spans="5:40" x14ac:dyDescent="0.25">
      <c r="E804" s="23"/>
      <c r="F804" s="23"/>
      <c r="G804" s="23"/>
      <c r="H804" s="23"/>
      <c r="L804" s="11"/>
      <c r="M804" s="13"/>
      <c r="N804" s="13"/>
      <c r="O804" s="36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</row>
    <row r="805" spans="5:40" x14ac:dyDescent="0.25">
      <c r="E805" s="23"/>
      <c r="F805" s="23"/>
      <c r="G805" s="23"/>
      <c r="H805" s="23"/>
      <c r="L805" s="11"/>
      <c r="M805" s="13"/>
      <c r="N805" s="13"/>
      <c r="O805" s="36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</row>
    <row r="806" spans="5:40" x14ac:dyDescent="0.25">
      <c r="E806" s="23"/>
      <c r="F806" s="23"/>
      <c r="G806" s="23"/>
      <c r="H806" s="23"/>
      <c r="L806" s="11"/>
      <c r="M806" s="13"/>
      <c r="N806" s="13"/>
      <c r="O806" s="36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</row>
    <row r="807" spans="5:40" x14ac:dyDescent="0.25">
      <c r="E807" s="23"/>
      <c r="F807" s="23"/>
      <c r="G807" s="23"/>
      <c r="H807" s="23"/>
      <c r="L807" s="11"/>
      <c r="M807" s="13"/>
      <c r="N807" s="13"/>
      <c r="O807" s="36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</row>
    <row r="808" spans="5:40" x14ac:dyDescent="0.25">
      <c r="E808" s="23"/>
      <c r="F808" s="23"/>
      <c r="G808" s="23"/>
      <c r="H808" s="23"/>
      <c r="L808" s="11"/>
      <c r="M808" s="13"/>
      <c r="N808" s="13"/>
      <c r="O808" s="36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</row>
    <row r="809" spans="5:40" x14ac:dyDescent="0.25">
      <c r="E809" s="23"/>
      <c r="F809" s="23"/>
      <c r="G809" s="23"/>
      <c r="H809" s="23"/>
      <c r="L809" s="11"/>
      <c r="M809" s="13"/>
      <c r="N809" s="13"/>
      <c r="O809" s="36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</row>
    <row r="810" spans="5:40" x14ac:dyDescent="0.25">
      <c r="E810" s="23"/>
      <c r="F810" s="23"/>
      <c r="G810" s="23"/>
      <c r="H810" s="23"/>
      <c r="L810" s="11"/>
      <c r="M810" s="13"/>
      <c r="N810" s="13"/>
      <c r="O810" s="36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</row>
    <row r="811" spans="5:40" x14ac:dyDescent="0.25">
      <c r="E811" s="23"/>
      <c r="F811" s="23"/>
      <c r="G811" s="23"/>
      <c r="H811" s="23"/>
      <c r="L811" s="11"/>
      <c r="M811" s="13"/>
      <c r="N811" s="13"/>
      <c r="O811" s="36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</row>
    <row r="812" spans="5:40" x14ac:dyDescent="0.25">
      <c r="E812" s="23"/>
      <c r="F812" s="23"/>
      <c r="G812" s="23"/>
      <c r="H812" s="23"/>
      <c r="L812" s="11"/>
      <c r="M812" s="13"/>
      <c r="N812" s="13"/>
      <c r="O812" s="36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</row>
    <row r="813" spans="5:40" x14ac:dyDescent="0.25">
      <c r="E813" s="23"/>
      <c r="F813" s="23"/>
      <c r="G813" s="23"/>
      <c r="H813" s="23"/>
      <c r="L813" s="11"/>
      <c r="M813" s="13"/>
      <c r="N813" s="13"/>
      <c r="O813" s="36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</row>
    <row r="814" spans="5:40" x14ac:dyDescent="0.25">
      <c r="E814" s="23"/>
      <c r="F814" s="23"/>
      <c r="G814" s="23"/>
      <c r="H814" s="23"/>
      <c r="L814" s="11"/>
      <c r="M814" s="13"/>
      <c r="N814" s="13"/>
      <c r="O814" s="36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</row>
    <row r="815" spans="5:40" x14ac:dyDescent="0.25">
      <c r="E815" s="23"/>
      <c r="F815" s="23"/>
      <c r="G815" s="23"/>
      <c r="H815" s="23"/>
      <c r="L815" s="11"/>
      <c r="M815" s="13"/>
      <c r="N815" s="13"/>
      <c r="O815" s="36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</row>
    <row r="816" spans="5:40" x14ac:dyDescent="0.25">
      <c r="E816" s="23"/>
      <c r="F816" s="23"/>
      <c r="G816" s="23"/>
      <c r="H816" s="23"/>
      <c r="L816" s="11"/>
      <c r="M816" s="13"/>
      <c r="N816" s="13"/>
      <c r="O816" s="36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</row>
    <row r="817" spans="5:40" x14ac:dyDescent="0.25">
      <c r="E817" s="23"/>
      <c r="F817" s="23"/>
      <c r="G817" s="23"/>
      <c r="H817" s="23"/>
      <c r="L817" s="11"/>
      <c r="M817" s="13"/>
      <c r="N817" s="13"/>
      <c r="O817" s="36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</row>
    <row r="818" spans="5:40" x14ac:dyDescent="0.25">
      <c r="E818" s="23"/>
      <c r="F818" s="23"/>
      <c r="G818" s="23"/>
      <c r="H818" s="23"/>
      <c r="L818" s="11"/>
      <c r="M818" s="13"/>
      <c r="N818" s="13"/>
      <c r="O818" s="36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</row>
    <row r="819" spans="5:40" x14ac:dyDescent="0.25">
      <c r="E819" s="23"/>
      <c r="F819" s="23"/>
      <c r="G819" s="23"/>
      <c r="H819" s="23"/>
      <c r="L819" s="11"/>
      <c r="M819" s="13"/>
      <c r="N819" s="13"/>
      <c r="O819" s="36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</row>
    <row r="820" spans="5:40" x14ac:dyDescent="0.25">
      <c r="E820" s="23"/>
      <c r="F820" s="23"/>
      <c r="G820" s="23"/>
      <c r="H820" s="23"/>
      <c r="L820" s="11"/>
      <c r="M820" s="13"/>
      <c r="N820" s="13"/>
      <c r="O820" s="36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</row>
    <row r="821" spans="5:40" x14ac:dyDescent="0.25">
      <c r="E821" s="23"/>
      <c r="F821" s="23"/>
      <c r="G821" s="23"/>
      <c r="H821" s="23"/>
      <c r="L821" s="11"/>
      <c r="M821" s="13"/>
      <c r="N821" s="13"/>
      <c r="O821" s="36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</row>
    <row r="822" spans="5:40" x14ac:dyDescent="0.25">
      <c r="E822" s="23"/>
      <c r="F822" s="23"/>
      <c r="G822" s="23"/>
      <c r="H822" s="23"/>
      <c r="L822" s="11"/>
      <c r="M822" s="13"/>
      <c r="N822" s="13"/>
      <c r="O822" s="36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</row>
    <row r="823" spans="5:40" x14ac:dyDescent="0.25">
      <c r="E823" s="23"/>
      <c r="F823" s="23"/>
      <c r="G823" s="23"/>
      <c r="H823" s="23"/>
      <c r="L823" s="11"/>
      <c r="M823" s="13"/>
      <c r="N823" s="13"/>
      <c r="O823" s="36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</row>
    <row r="824" spans="5:40" x14ac:dyDescent="0.25">
      <c r="E824" s="23"/>
      <c r="F824" s="23"/>
      <c r="G824" s="23"/>
      <c r="H824" s="23"/>
      <c r="L824" s="11"/>
      <c r="M824" s="13"/>
      <c r="N824" s="13"/>
      <c r="O824" s="36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</row>
    <row r="825" spans="5:40" x14ac:dyDescent="0.25">
      <c r="E825" s="23"/>
      <c r="F825" s="23"/>
      <c r="G825" s="23"/>
      <c r="H825" s="23"/>
      <c r="L825" s="11"/>
      <c r="M825" s="13"/>
      <c r="N825" s="13"/>
      <c r="O825" s="36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</row>
    <row r="826" spans="5:40" x14ac:dyDescent="0.25">
      <c r="E826" s="23"/>
      <c r="F826" s="23"/>
      <c r="G826" s="23"/>
      <c r="H826" s="23"/>
      <c r="L826" s="11"/>
      <c r="M826" s="13"/>
      <c r="N826" s="13"/>
      <c r="O826" s="36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</row>
    <row r="827" spans="5:40" x14ac:dyDescent="0.25">
      <c r="E827" s="23"/>
      <c r="F827" s="23"/>
      <c r="G827" s="23"/>
      <c r="H827" s="23"/>
      <c r="L827" s="11"/>
      <c r="M827" s="13"/>
      <c r="N827" s="13"/>
      <c r="O827" s="36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</row>
    <row r="828" spans="5:40" x14ac:dyDescent="0.25">
      <c r="E828" s="23"/>
      <c r="F828" s="23"/>
      <c r="G828" s="23"/>
      <c r="H828" s="23"/>
      <c r="L828" s="11"/>
      <c r="M828" s="13"/>
      <c r="N828" s="13"/>
      <c r="O828" s="36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</row>
    <row r="829" spans="5:40" x14ac:dyDescent="0.25">
      <c r="E829" s="23"/>
      <c r="F829" s="23"/>
      <c r="G829" s="23"/>
      <c r="H829" s="23"/>
      <c r="L829" s="11"/>
      <c r="M829" s="13"/>
      <c r="N829" s="13"/>
      <c r="O829" s="36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</row>
    <row r="830" spans="5:40" x14ac:dyDescent="0.25">
      <c r="E830" s="23"/>
      <c r="F830" s="23"/>
      <c r="G830" s="23"/>
      <c r="H830" s="23"/>
      <c r="L830" s="11"/>
      <c r="M830" s="13"/>
      <c r="N830" s="13"/>
      <c r="O830" s="36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</row>
    <row r="831" spans="5:40" x14ac:dyDescent="0.25">
      <c r="E831" s="23"/>
      <c r="F831" s="23"/>
      <c r="G831" s="23"/>
      <c r="H831" s="23"/>
      <c r="L831" s="11"/>
      <c r="M831" s="13"/>
      <c r="N831" s="13"/>
      <c r="O831" s="36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</row>
    <row r="832" spans="5:40" x14ac:dyDescent="0.25">
      <c r="E832" s="23"/>
      <c r="F832" s="23"/>
      <c r="G832" s="23"/>
      <c r="H832" s="23"/>
      <c r="L832" s="11"/>
      <c r="M832" s="13"/>
      <c r="N832" s="13"/>
      <c r="O832" s="36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</row>
    <row r="833" spans="5:40" x14ac:dyDescent="0.25">
      <c r="E833" s="23"/>
      <c r="F833" s="23"/>
      <c r="G833" s="23"/>
      <c r="H833" s="23"/>
      <c r="L833" s="11"/>
      <c r="M833" s="13"/>
      <c r="N833" s="13"/>
      <c r="O833" s="36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</row>
    <row r="834" spans="5:40" x14ac:dyDescent="0.25">
      <c r="E834" s="23"/>
      <c r="F834" s="23"/>
      <c r="G834" s="23"/>
      <c r="H834" s="23"/>
      <c r="L834" s="11"/>
      <c r="M834" s="13"/>
      <c r="N834" s="13"/>
      <c r="O834" s="36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</row>
    <row r="835" spans="5:40" x14ac:dyDescent="0.25">
      <c r="E835" s="23"/>
      <c r="F835" s="23"/>
      <c r="G835" s="23"/>
      <c r="H835" s="23"/>
      <c r="L835" s="11"/>
      <c r="M835" s="13"/>
      <c r="N835" s="13"/>
      <c r="O835" s="36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</row>
    <row r="836" spans="5:40" x14ac:dyDescent="0.25">
      <c r="E836" s="23"/>
      <c r="F836" s="23"/>
      <c r="G836" s="23"/>
      <c r="H836" s="23"/>
      <c r="L836" s="11"/>
      <c r="M836" s="13"/>
      <c r="N836" s="13"/>
      <c r="O836" s="36"/>
      <c r="P836" s="13"/>
      <c r="Q836" s="13"/>
      <c r="R836" s="13"/>
      <c r="S836" s="13"/>
      <c r="T836" s="13"/>
      <c r="U836" s="13"/>
    </row>
    <row r="837" spans="5:40" x14ac:dyDescent="0.25">
      <c r="E837" s="23"/>
      <c r="F837" s="23"/>
      <c r="G837" s="23"/>
      <c r="H837" s="23"/>
      <c r="L837" s="11"/>
      <c r="O837" s="36"/>
    </row>
    <row r="838" spans="5:40" x14ac:dyDescent="0.25">
      <c r="E838" s="23"/>
      <c r="F838" s="23"/>
      <c r="G838" s="23"/>
      <c r="H838" s="23"/>
      <c r="L838" s="11"/>
      <c r="O838" s="36"/>
    </row>
    <row r="839" spans="5:40" x14ac:dyDescent="0.25">
      <c r="E839" s="23"/>
      <c r="F839" s="23"/>
      <c r="G839" s="23"/>
      <c r="H839" s="23"/>
      <c r="L839" s="11"/>
      <c r="O839" s="36"/>
    </row>
    <row r="840" spans="5:40" x14ac:dyDescent="0.25">
      <c r="L840" s="11"/>
      <c r="O840" s="36"/>
    </row>
    <row r="841" spans="5:40" x14ac:dyDescent="0.25">
      <c r="O841" s="36"/>
    </row>
    <row r="842" spans="5:40" x14ac:dyDescent="0.25">
      <c r="O842" s="36"/>
    </row>
    <row r="843" spans="5:40" x14ac:dyDescent="0.25">
      <c r="O843" s="36"/>
    </row>
    <row r="844" spans="5:40" x14ac:dyDescent="0.25">
      <c r="O844" s="36"/>
    </row>
    <row r="845" spans="5:40" x14ac:dyDescent="0.25">
      <c r="O845" s="36"/>
    </row>
    <row r="846" spans="5:40" x14ac:dyDescent="0.25">
      <c r="O846" s="36"/>
    </row>
    <row r="847" spans="5:40" x14ac:dyDescent="0.25">
      <c r="O847" s="36"/>
    </row>
    <row r="848" spans="5:40" x14ac:dyDescent="0.25">
      <c r="O848" s="36"/>
    </row>
    <row r="849" spans="15:15" x14ac:dyDescent="0.25">
      <c r="O849" s="36"/>
    </row>
    <row r="850" spans="15:15" x14ac:dyDescent="0.25">
      <c r="O850" s="36"/>
    </row>
    <row r="851" spans="15:15" x14ac:dyDescent="0.25">
      <c r="O851" s="36"/>
    </row>
    <row r="852" spans="15:15" x14ac:dyDescent="0.25">
      <c r="O852" s="36"/>
    </row>
    <row r="853" spans="15:15" x14ac:dyDescent="0.25">
      <c r="O853" s="36"/>
    </row>
    <row r="854" spans="15:15" x14ac:dyDescent="0.25">
      <c r="O854" s="36"/>
    </row>
    <row r="855" spans="15:15" x14ac:dyDescent="0.25">
      <c r="O855" s="36"/>
    </row>
    <row r="856" spans="15:15" x14ac:dyDescent="0.25">
      <c r="O856" s="36"/>
    </row>
    <row r="857" spans="15:15" x14ac:dyDescent="0.25">
      <c r="O857" s="36"/>
    </row>
    <row r="858" spans="15:15" x14ac:dyDescent="0.25">
      <c r="O858" s="36"/>
    </row>
    <row r="859" spans="15:15" x14ac:dyDescent="0.25">
      <c r="O859" s="36"/>
    </row>
    <row r="860" spans="15:15" x14ac:dyDescent="0.25">
      <c r="O860" s="36"/>
    </row>
    <row r="861" spans="15:15" x14ac:dyDescent="0.25">
      <c r="O861" s="36"/>
    </row>
    <row r="862" spans="15:15" x14ac:dyDescent="0.25">
      <c r="O862" s="36"/>
    </row>
    <row r="863" spans="15:15" x14ac:dyDescent="0.25">
      <c r="O863" s="36"/>
    </row>
    <row r="864" spans="15:15" x14ac:dyDescent="0.25">
      <c r="O864" s="36"/>
    </row>
    <row r="865" spans="15:15" x14ac:dyDescent="0.25">
      <c r="O865" s="36"/>
    </row>
    <row r="866" spans="15:15" x14ac:dyDescent="0.25">
      <c r="O866" s="36"/>
    </row>
    <row r="867" spans="15:15" x14ac:dyDescent="0.25">
      <c r="O867" s="36"/>
    </row>
    <row r="868" spans="15:15" x14ac:dyDescent="0.25">
      <c r="O868" s="36"/>
    </row>
    <row r="869" spans="15:15" x14ac:dyDescent="0.25">
      <c r="O869" s="36"/>
    </row>
    <row r="870" spans="15:15" x14ac:dyDescent="0.25">
      <c r="O870" s="36"/>
    </row>
    <row r="871" spans="15:15" x14ac:dyDescent="0.25">
      <c r="O871" s="36"/>
    </row>
    <row r="872" spans="15:15" x14ac:dyDescent="0.25">
      <c r="O872" s="36"/>
    </row>
    <row r="873" spans="15:15" x14ac:dyDescent="0.25">
      <c r="O873" s="36"/>
    </row>
    <row r="874" spans="15:15" x14ac:dyDescent="0.25">
      <c r="O874" s="36"/>
    </row>
    <row r="875" spans="15:15" x14ac:dyDescent="0.25">
      <c r="O875" s="36"/>
    </row>
    <row r="876" spans="15:15" x14ac:dyDescent="0.25">
      <c r="O876" s="36"/>
    </row>
    <row r="877" spans="15:15" x14ac:dyDescent="0.25">
      <c r="O877" s="36"/>
    </row>
    <row r="878" spans="15:15" x14ac:dyDescent="0.25">
      <c r="O878" s="36"/>
    </row>
    <row r="879" spans="15:15" x14ac:dyDescent="0.25">
      <c r="O879" s="36"/>
    </row>
    <row r="880" spans="15:15" x14ac:dyDescent="0.25">
      <c r="O880" s="36"/>
    </row>
    <row r="881" spans="15:15" x14ac:dyDescent="0.25">
      <c r="O881" s="36"/>
    </row>
    <row r="882" spans="15:15" x14ac:dyDescent="0.25">
      <c r="O882" s="36"/>
    </row>
    <row r="883" spans="15:15" x14ac:dyDescent="0.25">
      <c r="O883" s="36"/>
    </row>
    <row r="884" spans="15:15" x14ac:dyDescent="0.25">
      <c r="O884" s="36"/>
    </row>
    <row r="885" spans="15:15" x14ac:dyDescent="0.25">
      <c r="O885" s="36"/>
    </row>
    <row r="886" spans="15:15" x14ac:dyDescent="0.25">
      <c r="O886" s="36"/>
    </row>
    <row r="887" spans="15:15" x14ac:dyDescent="0.25">
      <c r="O887" s="36"/>
    </row>
    <row r="888" spans="15:15" x14ac:dyDescent="0.25">
      <c r="O888" s="36"/>
    </row>
    <row r="889" spans="15:15" x14ac:dyDescent="0.25">
      <c r="O889" s="36"/>
    </row>
    <row r="890" spans="15:15" x14ac:dyDescent="0.25">
      <c r="O890" s="36"/>
    </row>
    <row r="891" spans="15:15" x14ac:dyDescent="0.25">
      <c r="O891" s="36"/>
    </row>
    <row r="892" spans="15:15" x14ac:dyDescent="0.25">
      <c r="O892" s="36"/>
    </row>
    <row r="893" spans="15:15" x14ac:dyDescent="0.25">
      <c r="O893" s="36"/>
    </row>
    <row r="894" spans="15:15" x14ac:dyDescent="0.25">
      <c r="O894" s="36"/>
    </row>
    <row r="895" spans="15:15" x14ac:dyDescent="0.25">
      <c r="O895" s="36"/>
    </row>
    <row r="896" spans="15:15" x14ac:dyDescent="0.25">
      <c r="O896" s="36"/>
    </row>
    <row r="897" spans="15:15" x14ac:dyDescent="0.25">
      <c r="O897" s="36"/>
    </row>
    <row r="898" spans="15:15" x14ac:dyDescent="0.25">
      <c r="O898" s="36"/>
    </row>
    <row r="899" spans="15:15" x14ac:dyDescent="0.25">
      <c r="O899" s="36"/>
    </row>
    <row r="900" spans="15:15" x14ac:dyDescent="0.25">
      <c r="O900" s="36"/>
    </row>
    <row r="901" spans="15:15" x14ac:dyDescent="0.25">
      <c r="O901" s="36"/>
    </row>
    <row r="902" spans="15:15" x14ac:dyDescent="0.25">
      <c r="O902" s="36"/>
    </row>
    <row r="903" spans="15:15" x14ac:dyDescent="0.25">
      <c r="O903" s="36"/>
    </row>
    <row r="904" spans="15:15" x14ac:dyDescent="0.25">
      <c r="O904" s="36"/>
    </row>
    <row r="905" spans="15:15" x14ac:dyDescent="0.25">
      <c r="O905" s="36"/>
    </row>
    <row r="906" spans="15:15" x14ac:dyDescent="0.25">
      <c r="O906" s="36"/>
    </row>
    <row r="907" spans="15:15" x14ac:dyDescent="0.25">
      <c r="O907" s="36"/>
    </row>
    <row r="908" spans="15:15" x14ac:dyDescent="0.25">
      <c r="O908" s="36"/>
    </row>
    <row r="909" spans="15:15" x14ac:dyDescent="0.25">
      <c r="O909" s="36"/>
    </row>
    <row r="910" spans="15:15" x14ac:dyDescent="0.25">
      <c r="O910" s="36"/>
    </row>
    <row r="911" spans="15:15" x14ac:dyDescent="0.25">
      <c r="O911" s="36"/>
    </row>
    <row r="912" spans="15:15" x14ac:dyDescent="0.25">
      <c r="O912" s="36"/>
    </row>
    <row r="913" spans="15:15" x14ac:dyDescent="0.25">
      <c r="O913" s="36"/>
    </row>
    <row r="914" spans="15:15" x14ac:dyDescent="0.25">
      <c r="O914" s="36"/>
    </row>
    <row r="915" spans="15:15" x14ac:dyDescent="0.25">
      <c r="O915" s="36"/>
    </row>
    <row r="916" spans="15:15" x14ac:dyDescent="0.25">
      <c r="O916" s="36"/>
    </row>
    <row r="917" spans="15:15" x14ac:dyDescent="0.25">
      <c r="O917" s="36"/>
    </row>
    <row r="918" spans="15:15" x14ac:dyDescent="0.25">
      <c r="O918" s="36"/>
    </row>
    <row r="919" spans="15:15" x14ac:dyDescent="0.25">
      <c r="O919" s="36"/>
    </row>
    <row r="920" spans="15:15" x14ac:dyDescent="0.25">
      <c r="O920" s="36"/>
    </row>
    <row r="921" spans="15:15" x14ac:dyDescent="0.25">
      <c r="O921" s="36"/>
    </row>
    <row r="922" spans="15:15" x14ac:dyDescent="0.25">
      <c r="O922" s="36"/>
    </row>
    <row r="923" spans="15:15" x14ac:dyDescent="0.25">
      <c r="O923" s="36"/>
    </row>
    <row r="924" spans="15:15" x14ac:dyDescent="0.25">
      <c r="O924" s="36"/>
    </row>
    <row r="925" spans="15:15" x14ac:dyDescent="0.25">
      <c r="O925" s="36"/>
    </row>
    <row r="926" spans="15:15" x14ac:dyDescent="0.25">
      <c r="O926" s="36"/>
    </row>
    <row r="927" spans="15:15" x14ac:dyDescent="0.25">
      <c r="O927" s="36"/>
    </row>
    <row r="928" spans="15:15" x14ac:dyDescent="0.25">
      <c r="O928" s="36"/>
    </row>
    <row r="929" spans="15:15" x14ac:dyDescent="0.25">
      <c r="O929" s="36"/>
    </row>
    <row r="930" spans="15:15" x14ac:dyDescent="0.25">
      <c r="O930" s="36"/>
    </row>
    <row r="931" spans="15:15" x14ac:dyDescent="0.25">
      <c r="O931" s="36"/>
    </row>
    <row r="932" spans="15:15" x14ac:dyDescent="0.25">
      <c r="O932" s="36"/>
    </row>
    <row r="933" spans="15:15" x14ac:dyDescent="0.25">
      <c r="O933" s="36"/>
    </row>
    <row r="934" spans="15:15" x14ac:dyDescent="0.25">
      <c r="O934" s="36"/>
    </row>
    <row r="935" spans="15:15" x14ac:dyDescent="0.25">
      <c r="O935" s="36"/>
    </row>
    <row r="936" spans="15:15" x14ac:dyDescent="0.25">
      <c r="O936" s="36"/>
    </row>
    <row r="937" spans="15:15" x14ac:dyDescent="0.25">
      <c r="O937" s="36"/>
    </row>
    <row r="938" spans="15:15" x14ac:dyDescent="0.25">
      <c r="O938" s="36"/>
    </row>
    <row r="939" spans="15:15" x14ac:dyDescent="0.25">
      <c r="O939" s="36"/>
    </row>
    <row r="940" spans="15:15" x14ac:dyDescent="0.25">
      <c r="O940" s="36"/>
    </row>
    <row r="941" spans="15:15" x14ac:dyDescent="0.25">
      <c r="O941" s="36"/>
    </row>
    <row r="942" spans="15:15" x14ac:dyDescent="0.25">
      <c r="O942" s="36"/>
    </row>
    <row r="943" spans="15:15" x14ac:dyDescent="0.25">
      <c r="O943" s="36"/>
    </row>
    <row r="944" spans="15:15" x14ac:dyDescent="0.25">
      <c r="O944" s="36"/>
    </row>
    <row r="945" spans="15:15" x14ac:dyDescent="0.25">
      <c r="O945" s="36"/>
    </row>
    <row r="946" spans="15:15" x14ac:dyDescent="0.25">
      <c r="O946" s="36"/>
    </row>
    <row r="947" spans="15:15" x14ac:dyDescent="0.25">
      <c r="O947" s="36"/>
    </row>
    <row r="948" spans="15:15" x14ac:dyDescent="0.25">
      <c r="O948" s="36"/>
    </row>
    <row r="949" spans="15:15" x14ac:dyDescent="0.25">
      <c r="O949" s="36"/>
    </row>
    <row r="950" spans="15:15" x14ac:dyDescent="0.25">
      <c r="O950" s="36"/>
    </row>
    <row r="951" spans="15:15" x14ac:dyDescent="0.25">
      <c r="O951" s="36"/>
    </row>
    <row r="952" spans="15:15" x14ac:dyDescent="0.25">
      <c r="O952" s="36"/>
    </row>
    <row r="953" spans="15:15" x14ac:dyDescent="0.25">
      <c r="O953" s="36"/>
    </row>
    <row r="954" spans="15:15" x14ac:dyDescent="0.25">
      <c r="O954" s="36"/>
    </row>
    <row r="955" spans="15:15" x14ac:dyDescent="0.25">
      <c r="O955" s="36"/>
    </row>
    <row r="956" spans="15:15" x14ac:dyDescent="0.25">
      <c r="O956" s="36"/>
    </row>
    <row r="957" spans="15:15" x14ac:dyDescent="0.25">
      <c r="O957" s="36"/>
    </row>
    <row r="958" spans="15:15" x14ac:dyDescent="0.25">
      <c r="O958" s="36"/>
    </row>
    <row r="959" spans="15:15" x14ac:dyDescent="0.25">
      <c r="O959" s="36"/>
    </row>
    <row r="960" spans="15:15" x14ac:dyDescent="0.25">
      <c r="O960" s="36"/>
    </row>
    <row r="961" spans="15:15" x14ac:dyDescent="0.25">
      <c r="O961" s="36"/>
    </row>
    <row r="962" spans="15:15" x14ac:dyDescent="0.25">
      <c r="O962" s="36"/>
    </row>
    <row r="963" spans="15:15" x14ac:dyDescent="0.25">
      <c r="O963" s="36"/>
    </row>
    <row r="964" spans="15:15" x14ac:dyDescent="0.25">
      <c r="O964" s="36"/>
    </row>
    <row r="965" spans="15:15" x14ac:dyDescent="0.25">
      <c r="O965" s="36"/>
    </row>
    <row r="966" spans="15:15" x14ac:dyDescent="0.25">
      <c r="O966" s="36"/>
    </row>
    <row r="967" spans="15:15" x14ac:dyDescent="0.25">
      <c r="O967" s="36"/>
    </row>
    <row r="968" spans="15:15" x14ac:dyDescent="0.25">
      <c r="O968" s="36"/>
    </row>
    <row r="969" spans="15:15" x14ac:dyDescent="0.25">
      <c r="O969" s="36"/>
    </row>
    <row r="970" spans="15:15" x14ac:dyDescent="0.25">
      <c r="O970" s="36"/>
    </row>
    <row r="971" spans="15:15" x14ac:dyDescent="0.25">
      <c r="O971" s="36"/>
    </row>
    <row r="972" spans="15:15" x14ac:dyDescent="0.25">
      <c r="O972" s="36"/>
    </row>
    <row r="973" spans="15:15" x14ac:dyDescent="0.25">
      <c r="O973" s="36"/>
    </row>
    <row r="974" spans="15:15" x14ac:dyDescent="0.25">
      <c r="O974" s="36"/>
    </row>
    <row r="975" spans="15:15" x14ac:dyDescent="0.25">
      <c r="O975" s="36"/>
    </row>
    <row r="976" spans="15:15" x14ac:dyDescent="0.25">
      <c r="O976" s="36"/>
    </row>
    <row r="977" spans="15:15" x14ac:dyDescent="0.25">
      <c r="O977" s="36"/>
    </row>
    <row r="978" spans="15:15" x14ac:dyDescent="0.25">
      <c r="O978" s="36"/>
    </row>
    <row r="979" spans="15:15" x14ac:dyDescent="0.25">
      <c r="O979" s="36"/>
    </row>
    <row r="980" spans="15:15" x14ac:dyDescent="0.25">
      <c r="O980" s="36"/>
    </row>
    <row r="981" spans="15:15" x14ac:dyDescent="0.25">
      <c r="O981" s="36"/>
    </row>
    <row r="982" spans="15:15" x14ac:dyDescent="0.25">
      <c r="O982" s="36"/>
    </row>
    <row r="983" spans="15:15" x14ac:dyDescent="0.25">
      <c r="O983" s="36"/>
    </row>
    <row r="984" spans="15:15" x14ac:dyDescent="0.25">
      <c r="O984" s="36"/>
    </row>
    <row r="985" spans="15:15" x14ac:dyDescent="0.25">
      <c r="O985" s="36"/>
    </row>
    <row r="986" spans="15:15" x14ac:dyDescent="0.25">
      <c r="O986" s="36"/>
    </row>
    <row r="987" spans="15:15" x14ac:dyDescent="0.25">
      <c r="O987" s="36"/>
    </row>
    <row r="988" spans="15:15" x14ac:dyDescent="0.25">
      <c r="O988" s="36"/>
    </row>
    <row r="989" spans="15:15" x14ac:dyDescent="0.25">
      <c r="O989" s="36"/>
    </row>
    <row r="990" spans="15:15" x14ac:dyDescent="0.25">
      <c r="O990" s="36"/>
    </row>
    <row r="991" spans="15:15" x14ac:dyDescent="0.25">
      <c r="O991" s="36"/>
    </row>
    <row r="992" spans="15:15" x14ac:dyDescent="0.25">
      <c r="O992" s="36"/>
    </row>
    <row r="993" spans="15:15" x14ac:dyDescent="0.25">
      <c r="O993" s="36"/>
    </row>
    <row r="994" spans="15:15" x14ac:dyDescent="0.25">
      <c r="O994" s="36"/>
    </row>
    <row r="995" spans="15:15" x14ac:dyDescent="0.25">
      <c r="O995" s="36"/>
    </row>
    <row r="996" spans="15:15" x14ac:dyDescent="0.25">
      <c r="O996" s="36"/>
    </row>
    <row r="997" spans="15:15" x14ac:dyDescent="0.25">
      <c r="O997" s="36"/>
    </row>
    <row r="998" spans="15:15" x14ac:dyDescent="0.25">
      <c r="O998" s="36"/>
    </row>
    <row r="999" spans="15:15" x14ac:dyDescent="0.25">
      <c r="O999" s="36"/>
    </row>
    <row r="1000" spans="15:15" x14ac:dyDescent="0.25">
      <c r="O1000" s="36"/>
    </row>
    <row r="1001" spans="15:15" x14ac:dyDescent="0.25">
      <c r="O1001" s="36"/>
    </row>
    <row r="1002" spans="15:15" x14ac:dyDescent="0.25">
      <c r="O1002" s="36"/>
    </row>
    <row r="1003" spans="15:15" x14ac:dyDescent="0.25">
      <c r="O1003" s="36"/>
    </row>
    <row r="1004" spans="15:15" x14ac:dyDescent="0.25">
      <c r="O1004" s="36"/>
    </row>
    <row r="1005" spans="15:15" x14ac:dyDescent="0.25">
      <c r="O1005" s="36"/>
    </row>
    <row r="1006" spans="15:15" x14ac:dyDescent="0.25">
      <c r="O1006" s="36"/>
    </row>
    <row r="1007" spans="15:15" x14ac:dyDescent="0.25">
      <c r="O1007" s="36"/>
    </row>
    <row r="1008" spans="15:15" x14ac:dyDescent="0.25">
      <c r="O1008" s="36"/>
    </row>
    <row r="1009" spans="15:15" x14ac:dyDescent="0.25">
      <c r="O1009" s="36"/>
    </row>
    <row r="1010" spans="15:15" x14ac:dyDescent="0.25">
      <c r="O1010" s="36"/>
    </row>
    <row r="1011" spans="15:15" x14ac:dyDescent="0.25">
      <c r="O1011" s="36"/>
    </row>
    <row r="1012" spans="15:15" x14ac:dyDescent="0.25">
      <c r="O1012" s="36"/>
    </row>
    <row r="1013" spans="15:15" x14ac:dyDescent="0.25">
      <c r="O1013" s="36"/>
    </row>
    <row r="1014" spans="15:15" x14ac:dyDescent="0.25">
      <c r="O1014" s="36"/>
    </row>
    <row r="1015" spans="15:15" x14ac:dyDescent="0.25">
      <c r="O1015" s="36"/>
    </row>
    <row r="1016" spans="15:15" x14ac:dyDescent="0.25">
      <c r="O1016" s="36"/>
    </row>
    <row r="1017" spans="15:15" x14ac:dyDescent="0.25">
      <c r="O1017" s="36"/>
    </row>
    <row r="1018" spans="15:15" x14ac:dyDescent="0.25">
      <c r="O1018" s="36"/>
    </row>
    <row r="1019" spans="15:15" x14ac:dyDescent="0.25">
      <c r="O1019" s="36"/>
    </row>
    <row r="1020" spans="15:15" x14ac:dyDescent="0.25">
      <c r="O1020" s="36"/>
    </row>
    <row r="1021" spans="15:15" x14ac:dyDescent="0.25">
      <c r="O1021" s="36"/>
    </row>
    <row r="1022" spans="15:15" x14ac:dyDescent="0.25">
      <c r="O1022" s="36"/>
    </row>
    <row r="1023" spans="15:15" x14ac:dyDescent="0.25">
      <c r="O1023" s="36"/>
    </row>
    <row r="1024" spans="15:15" x14ac:dyDescent="0.25">
      <c r="O1024" s="36"/>
    </row>
    <row r="1025" spans="15:15" x14ac:dyDescent="0.25">
      <c r="O1025" s="36"/>
    </row>
    <row r="1026" spans="15:15" x14ac:dyDescent="0.25">
      <c r="O1026" s="36"/>
    </row>
    <row r="1027" spans="15:15" x14ac:dyDescent="0.25">
      <c r="O1027" s="36"/>
    </row>
    <row r="1028" spans="15:15" x14ac:dyDescent="0.25">
      <c r="O1028" s="36"/>
    </row>
    <row r="1029" spans="15:15" x14ac:dyDescent="0.25">
      <c r="O1029" s="36"/>
    </row>
    <row r="1030" spans="15:15" x14ac:dyDescent="0.25">
      <c r="O1030" s="36"/>
    </row>
    <row r="1031" spans="15:15" x14ac:dyDescent="0.25">
      <c r="O1031" s="36"/>
    </row>
    <row r="1032" spans="15:15" x14ac:dyDescent="0.25">
      <c r="O1032" s="36"/>
    </row>
    <row r="1033" spans="15:15" x14ac:dyDescent="0.25">
      <c r="O1033" s="36"/>
    </row>
    <row r="1034" spans="15:15" x14ac:dyDescent="0.25">
      <c r="O1034" s="36"/>
    </row>
    <row r="1035" spans="15:15" x14ac:dyDescent="0.25">
      <c r="O1035" s="36"/>
    </row>
    <row r="1036" spans="15:15" x14ac:dyDescent="0.25">
      <c r="O1036" s="36"/>
    </row>
    <row r="1037" spans="15:15" x14ac:dyDescent="0.25">
      <c r="O1037" s="36"/>
    </row>
    <row r="1038" spans="15:15" x14ac:dyDescent="0.25">
      <c r="O1038" s="36"/>
    </row>
    <row r="1039" spans="15:15" x14ac:dyDescent="0.25">
      <c r="O1039" s="36"/>
    </row>
    <row r="1040" spans="15:15" x14ac:dyDescent="0.25">
      <c r="O1040" s="36"/>
    </row>
    <row r="1041" spans="15:15" x14ac:dyDescent="0.25">
      <c r="O1041" s="36"/>
    </row>
    <row r="1042" spans="15:15" x14ac:dyDescent="0.25">
      <c r="O1042" s="36"/>
    </row>
    <row r="1043" spans="15:15" x14ac:dyDescent="0.25">
      <c r="O1043" s="36"/>
    </row>
    <row r="1044" spans="15:15" x14ac:dyDescent="0.25">
      <c r="O1044" s="36"/>
    </row>
    <row r="1045" spans="15:15" x14ac:dyDescent="0.25">
      <c r="O1045" s="36"/>
    </row>
    <row r="1046" spans="15:15" x14ac:dyDescent="0.25">
      <c r="O1046" s="36"/>
    </row>
    <row r="1047" spans="15:15" x14ac:dyDescent="0.25">
      <c r="O1047" s="36"/>
    </row>
    <row r="1048" spans="15:15" x14ac:dyDescent="0.25">
      <c r="O1048" s="36"/>
    </row>
    <row r="1049" spans="15:15" x14ac:dyDescent="0.25">
      <c r="O1049" s="36"/>
    </row>
    <row r="1050" spans="15:15" x14ac:dyDescent="0.25">
      <c r="O1050" s="36"/>
    </row>
    <row r="1051" spans="15:15" x14ac:dyDescent="0.25">
      <c r="O1051" s="36"/>
    </row>
    <row r="1052" spans="15:15" x14ac:dyDescent="0.25">
      <c r="O1052" s="36"/>
    </row>
    <row r="1053" spans="15:15" x14ac:dyDescent="0.25">
      <c r="O1053" s="36"/>
    </row>
    <row r="1054" spans="15:15" x14ac:dyDescent="0.25">
      <c r="O1054" s="36"/>
    </row>
    <row r="1055" spans="15:15" x14ac:dyDescent="0.25">
      <c r="O1055" s="36"/>
    </row>
    <row r="1056" spans="15:15" x14ac:dyDescent="0.25">
      <c r="O1056" s="36"/>
    </row>
    <row r="1057" spans="15:15" x14ac:dyDescent="0.25">
      <c r="O1057" s="36"/>
    </row>
    <row r="1058" spans="15:15" x14ac:dyDescent="0.25">
      <c r="O1058" s="36"/>
    </row>
    <row r="1059" spans="15:15" x14ac:dyDescent="0.25">
      <c r="O1059" s="36"/>
    </row>
    <row r="1060" spans="15:15" x14ac:dyDescent="0.25">
      <c r="O1060" s="36"/>
    </row>
    <row r="1061" spans="15:15" x14ac:dyDescent="0.25">
      <c r="O1061" s="36"/>
    </row>
    <row r="1062" spans="15:15" x14ac:dyDescent="0.25">
      <c r="O1062" s="36"/>
    </row>
    <row r="1063" spans="15:15" x14ac:dyDescent="0.25">
      <c r="O1063" s="36"/>
    </row>
    <row r="1064" spans="15:15" x14ac:dyDescent="0.25">
      <c r="O1064" s="36"/>
    </row>
    <row r="1065" spans="15:15" x14ac:dyDescent="0.25">
      <c r="O1065" s="36"/>
    </row>
    <row r="1066" spans="15:15" x14ac:dyDescent="0.25">
      <c r="O1066" s="36"/>
    </row>
    <row r="1067" spans="15:15" x14ac:dyDescent="0.25">
      <c r="O1067" s="36"/>
    </row>
    <row r="1068" spans="15:15" x14ac:dyDescent="0.25">
      <c r="O1068" s="36"/>
    </row>
    <row r="1069" spans="15:15" x14ac:dyDescent="0.25">
      <c r="O1069" s="36"/>
    </row>
    <row r="1070" spans="15:15" x14ac:dyDescent="0.25">
      <c r="O1070" s="36"/>
    </row>
    <row r="1071" spans="15:15" x14ac:dyDescent="0.25">
      <c r="O1071" s="36"/>
    </row>
    <row r="1072" spans="15:15" x14ac:dyDescent="0.25">
      <c r="O1072" s="36"/>
    </row>
    <row r="1073" spans="15:15" x14ac:dyDescent="0.25">
      <c r="O1073" s="36"/>
    </row>
    <row r="1074" spans="15:15" x14ac:dyDescent="0.25">
      <c r="O1074" s="36"/>
    </row>
    <row r="1075" spans="15:15" x14ac:dyDescent="0.25">
      <c r="O1075" s="36"/>
    </row>
    <row r="1076" spans="15:15" x14ac:dyDescent="0.25">
      <c r="O1076" s="36"/>
    </row>
    <row r="1077" spans="15:15" x14ac:dyDescent="0.25">
      <c r="O1077" s="36"/>
    </row>
    <row r="1078" spans="15:15" x14ac:dyDescent="0.25">
      <c r="O1078" s="36"/>
    </row>
    <row r="1079" spans="15:15" x14ac:dyDescent="0.25">
      <c r="O1079" s="36"/>
    </row>
    <row r="1080" spans="15:15" x14ac:dyDescent="0.25">
      <c r="O1080" s="36"/>
    </row>
    <row r="1081" spans="15:15" x14ac:dyDescent="0.25">
      <c r="O1081" s="36"/>
    </row>
    <row r="1082" spans="15:15" x14ac:dyDescent="0.25">
      <c r="O1082" s="36"/>
    </row>
    <row r="1083" spans="15:15" x14ac:dyDescent="0.25">
      <c r="O1083" s="36"/>
    </row>
    <row r="1084" spans="15:15" x14ac:dyDescent="0.25">
      <c r="O1084" s="36"/>
    </row>
    <row r="1085" spans="15:15" x14ac:dyDescent="0.25">
      <c r="O1085" s="36"/>
    </row>
    <row r="1086" spans="15:15" x14ac:dyDescent="0.25">
      <c r="O1086" s="36"/>
    </row>
    <row r="1087" spans="15:15" x14ac:dyDescent="0.25">
      <c r="O1087" s="36"/>
    </row>
    <row r="1088" spans="15:15" x14ac:dyDescent="0.25">
      <c r="O1088" s="36"/>
    </row>
    <row r="1089" spans="15:15" x14ac:dyDescent="0.25">
      <c r="O1089" s="36"/>
    </row>
    <row r="1090" spans="15:15" x14ac:dyDescent="0.25">
      <c r="O1090" s="36"/>
    </row>
    <row r="1091" spans="15:15" x14ac:dyDescent="0.25">
      <c r="O1091" s="36"/>
    </row>
    <row r="1092" spans="15:15" x14ac:dyDescent="0.25">
      <c r="O1092" s="36"/>
    </row>
    <row r="1093" spans="15:15" x14ac:dyDescent="0.25">
      <c r="O1093" s="36"/>
    </row>
    <row r="1094" spans="15:15" x14ac:dyDescent="0.25">
      <c r="O1094" s="36"/>
    </row>
    <row r="1095" spans="15:15" x14ac:dyDescent="0.25">
      <c r="O1095" s="36"/>
    </row>
    <row r="1096" spans="15:15" x14ac:dyDescent="0.25">
      <c r="O1096" s="36"/>
    </row>
    <row r="1097" spans="15:15" x14ac:dyDescent="0.25">
      <c r="O1097" s="36"/>
    </row>
    <row r="1098" spans="15:15" x14ac:dyDescent="0.25">
      <c r="O1098" s="36"/>
    </row>
    <row r="1099" spans="15:15" x14ac:dyDescent="0.25">
      <c r="O1099" s="36"/>
    </row>
    <row r="1100" spans="15:15" x14ac:dyDescent="0.25">
      <c r="O1100" s="36"/>
    </row>
    <row r="1101" spans="15:15" x14ac:dyDescent="0.25">
      <c r="O1101" s="36"/>
    </row>
    <row r="1102" spans="15:15" x14ac:dyDescent="0.25">
      <c r="O1102" s="36"/>
    </row>
    <row r="1103" spans="15:15" x14ac:dyDescent="0.25">
      <c r="O1103" s="36"/>
    </row>
    <row r="1104" spans="15:15" x14ac:dyDescent="0.25">
      <c r="O1104" s="36"/>
    </row>
    <row r="1105" spans="15:15" x14ac:dyDescent="0.25">
      <c r="O1105" s="36"/>
    </row>
    <row r="1106" spans="15:15" x14ac:dyDescent="0.25">
      <c r="O1106" s="36"/>
    </row>
    <row r="1107" spans="15:15" x14ac:dyDescent="0.25">
      <c r="O1107" s="36"/>
    </row>
    <row r="1108" spans="15:15" x14ac:dyDescent="0.25">
      <c r="O1108" s="36"/>
    </row>
    <row r="1109" spans="15:15" x14ac:dyDescent="0.25">
      <c r="O1109" s="36"/>
    </row>
    <row r="1110" spans="15:15" x14ac:dyDescent="0.25">
      <c r="O1110" s="36"/>
    </row>
    <row r="1111" spans="15:15" x14ac:dyDescent="0.25">
      <c r="O1111" s="36"/>
    </row>
    <row r="1112" spans="15:15" x14ac:dyDescent="0.25">
      <c r="O1112" s="36"/>
    </row>
    <row r="1113" spans="15:15" x14ac:dyDescent="0.25">
      <c r="O1113" s="36"/>
    </row>
    <row r="1114" spans="15:15" x14ac:dyDescent="0.25">
      <c r="O1114" s="36"/>
    </row>
    <row r="1115" spans="15:15" x14ac:dyDescent="0.25">
      <c r="O1115" s="36"/>
    </row>
    <row r="1116" spans="15:15" x14ac:dyDescent="0.25">
      <c r="O1116" s="36"/>
    </row>
    <row r="1117" spans="15:15" x14ac:dyDescent="0.25">
      <c r="O1117" s="36"/>
    </row>
    <row r="1118" spans="15:15" x14ac:dyDescent="0.25">
      <c r="O1118" s="36"/>
    </row>
    <row r="1119" spans="15:15" x14ac:dyDescent="0.25">
      <c r="O1119" s="36"/>
    </row>
    <row r="1120" spans="15:15" x14ac:dyDescent="0.25">
      <c r="O1120" s="36"/>
    </row>
    <row r="1121" spans="15:15" x14ac:dyDescent="0.25">
      <c r="O1121" s="36"/>
    </row>
    <row r="1122" spans="15:15" x14ac:dyDescent="0.25">
      <c r="O1122" s="36"/>
    </row>
    <row r="1123" spans="15:15" x14ac:dyDescent="0.25">
      <c r="O1123" s="36"/>
    </row>
    <row r="1124" spans="15:15" x14ac:dyDescent="0.25">
      <c r="O1124" s="36"/>
    </row>
    <row r="1125" spans="15:15" x14ac:dyDescent="0.25">
      <c r="O1125" s="36"/>
    </row>
    <row r="1126" spans="15:15" x14ac:dyDescent="0.25">
      <c r="O1126" s="36"/>
    </row>
    <row r="1127" spans="15:15" x14ac:dyDescent="0.25">
      <c r="O1127" s="36"/>
    </row>
    <row r="1128" spans="15:15" x14ac:dyDescent="0.25">
      <c r="O1128" s="36"/>
    </row>
    <row r="1129" spans="15:15" x14ac:dyDescent="0.25">
      <c r="O1129" s="36"/>
    </row>
    <row r="1130" spans="15:15" x14ac:dyDescent="0.25">
      <c r="O1130" s="36"/>
    </row>
    <row r="1131" spans="15:15" x14ac:dyDescent="0.25">
      <c r="O1131" s="36"/>
    </row>
    <row r="1132" spans="15:15" x14ac:dyDescent="0.25">
      <c r="O1132" s="36"/>
    </row>
    <row r="1133" spans="15:15" x14ac:dyDescent="0.25">
      <c r="O1133" s="36"/>
    </row>
    <row r="1134" spans="15:15" x14ac:dyDescent="0.25">
      <c r="O1134" s="36"/>
    </row>
    <row r="1135" spans="15:15" x14ac:dyDescent="0.25">
      <c r="O1135" s="36"/>
    </row>
    <row r="1136" spans="15:15" x14ac:dyDescent="0.25">
      <c r="O1136" s="36"/>
    </row>
    <row r="1137" spans="15:15" x14ac:dyDescent="0.25">
      <c r="O1137" s="36"/>
    </row>
    <row r="1138" spans="15:15" x14ac:dyDescent="0.25">
      <c r="O1138" s="36"/>
    </row>
    <row r="1139" spans="15:15" x14ac:dyDescent="0.25">
      <c r="O1139" s="36"/>
    </row>
    <row r="1140" spans="15:15" x14ac:dyDescent="0.25">
      <c r="O1140" s="36"/>
    </row>
    <row r="1141" spans="15:15" x14ac:dyDescent="0.25">
      <c r="O1141" s="36"/>
    </row>
    <row r="1142" spans="15:15" x14ac:dyDescent="0.25">
      <c r="O1142" s="36"/>
    </row>
    <row r="1143" spans="15:15" x14ac:dyDescent="0.25">
      <c r="O1143" s="36"/>
    </row>
    <row r="1144" spans="15:15" x14ac:dyDescent="0.25">
      <c r="O1144" s="36"/>
    </row>
    <row r="1145" spans="15:15" x14ac:dyDescent="0.25">
      <c r="O1145" s="36"/>
    </row>
    <row r="1146" spans="15:15" x14ac:dyDescent="0.25">
      <c r="O1146" s="36"/>
    </row>
    <row r="1147" spans="15:15" x14ac:dyDescent="0.25">
      <c r="O1147" s="36"/>
    </row>
    <row r="1148" spans="15:15" x14ac:dyDescent="0.25">
      <c r="O1148" s="36"/>
    </row>
    <row r="1149" spans="15:15" x14ac:dyDescent="0.25">
      <c r="O1149" s="36"/>
    </row>
    <row r="1150" spans="15:15" x14ac:dyDescent="0.25">
      <c r="O1150" s="36"/>
    </row>
    <row r="1151" spans="15:15" x14ac:dyDescent="0.25">
      <c r="O1151" s="36"/>
    </row>
    <row r="1152" spans="15:15" x14ac:dyDescent="0.25">
      <c r="O1152" s="36"/>
    </row>
    <row r="1153" spans="15:15" x14ac:dyDescent="0.25">
      <c r="O1153" s="36"/>
    </row>
    <row r="1154" spans="15:15" x14ac:dyDescent="0.25">
      <c r="O1154" s="36"/>
    </row>
    <row r="1155" spans="15:15" x14ac:dyDescent="0.25">
      <c r="O1155" s="36"/>
    </row>
    <row r="1156" spans="15:15" x14ac:dyDescent="0.25">
      <c r="O1156" s="36"/>
    </row>
    <row r="1157" spans="15:15" x14ac:dyDescent="0.25">
      <c r="O1157" s="36"/>
    </row>
    <row r="1158" spans="15:15" x14ac:dyDescent="0.25">
      <c r="O1158" s="36"/>
    </row>
    <row r="1159" spans="15:15" x14ac:dyDescent="0.25">
      <c r="O1159" s="36"/>
    </row>
    <row r="1160" spans="15:15" x14ac:dyDescent="0.25">
      <c r="O1160" s="36"/>
    </row>
    <row r="1161" spans="15:15" x14ac:dyDescent="0.25">
      <c r="O1161" s="36"/>
    </row>
    <row r="1162" spans="15:15" x14ac:dyDescent="0.25">
      <c r="O1162" s="36"/>
    </row>
    <row r="1163" spans="15:15" x14ac:dyDescent="0.25">
      <c r="O1163" s="36"/>
    </row>
    <row r="1164" spans="15:15" x14ac:dyDescent="0.25">
      <c r="O1164" s="36"/>
    </row>
    <row r="1165" spans="15:15" x14ac:dyDescent="0.25">
      <c r="O1165" s="36"/>
    </row>
    <row r="1166" spans="15:15" x14ac:dyDescent="0.25">
      <c r="O1166" s="36"/>
    </row>
    <row r="1167" spans="15:15" x14ac:dyDescent="0.25">
      <c r="O1167" s="36"/>
    </row>
    <row r="1168" spans="15:15" x14ac:dyDescent="0.25">
      <c r="O1168" s="36"/>
    </row>
    <row r="1169" spans="15:15" x14ac:dyDescent="0.25">
      <c r="O1169" s="36"/>
    </row>
    <row r="1170" spans="15:15" x14ac:dyDescent="0.25">
      <c r="O1170" s="36"/>
    </row>
    <row r="1171" spans="15:15" x14ac:dyDescent="0.25">
      <c r="O1171" s="36"/>
    </row>
    <row r="1172" spans="15:15" x14ac:dyDescent="0.25">
      <c r="O1172" s="36"/>
    </row>
    <row r="1173" spans="15:15" x14ac:dyDescent="0.25">
      <c r="O1173" s="36"/>
    </row>
    <row r="1174" spans="15:15" x14ac:dyDescent="0.25">
      <c r="O1174" s="36"/>
    </row>
    <row r="1175" spans="15:15" x14ac:dyDescent="0.25">
      <c r="O1175" s="36"/>
    </row>
    <row r="1176" spans="15:15" x14ac:dyDescent="0.25">
      <c r="O1176" s="36"/>
    </row>
    <row r="1177" spans="15:15" x14ac:dyDescent="0.25">
      <c r="O1177" s="36"/>
    </row>
    <row r="1178" spans="15:15" x14ac:dyDescent="0.25">
      <c r="O1178" s="36"/>
    </row>
    <row r="1179" spans="15:15" x14ac:dyDescent="0.25">
      <c r="O1179" s="36"/>
    </row>
    <row r="1180" spans="15:15" x14ac:dyDescent="0.25">
      <c r="O1180" s="36"/>
    </row>
    <row r="1181" spans="15:15" x14ac:dyDescent="0.25">
      <c r="O1181" s="36"/>
    </row>
    <row r="1182" spans="15:15" x14ac:dyDescent="0.25">
      <c r="O1182" s="36"/>
    </row>
    <row r="1183" spans="15:15" x14ac:dyDescent="0.25">
      <c r="O1183" s="36"/>
    </row>
    <row r="1184" spans="15:15" x14ac:dyDescent="0.25">
      <c r="O1184" s="36"/>
    </row>
    <row r="1185" spans="15:15" x14ac:dyDescent="0.25">
      <c r="O1185" s="36"/>
    </row>
    <row r="1186" spans="15:15" x14ac:dyDescent="0.25">
      <c r="O1186" s="36"/>
    </row>
    <row r="1187" spans="15:15" x14ac:dyDescent="0.25">
      <c r="O1187" s="36"/>
    </row>
    <row r="1188" spans="15:15" x14ac:dyDescent="0.25">
      <c r="O1188" s="36"/>
    </row>
    <row r="1189" spans="15:15" x14ac:dyDescent="0.25">
      <c r="O1189" s="36"/>
    </row>
    <row r="1190" spans="15:15" x14ac:dyDescent="0.25">
      <c r="O1190" s="36"/>
    </row>
    <row r="1191" spans="15:15" x14ac:dyDescent="0.25">
      <c r="O1191" s="36"/>
    </row>
    <row r="1192" spans="15:15" x14ac:dyDescent="0.25">
      <c r="O1192" s="36"/>
    </row>
  </sheetData>
  <autoFilter ref="A7:AN593" xr:uid="{00000000-0001-0000-0000-000000000000}"/>
  <sortState xmlns:xlrd2="http://schemas.microsoft.com/office/spreadsheetml/2017/richdata2" ref="A663:AN668">
    <sortCondition ref="B663:B668"/>
  </sortState>
  <phoneticPr fontId="4" type="noConversion"/>
  <conditionalFormatting sqref="E1:H7">
    <cfRule type="containsText" dxfId="206" priority="151" operator="containsText" text="Radio">
      <formula>NOT(ISERROR(SEARCH("Radio",E1)))</formula>
    </cfRule>
  </conditionalFormatting>
  <conditionalFormatting sqref="M673:AN749 W673:AH1048576">
    <cfRule type="cellIs" dxfId="168" priority="188" operator="equal">
      <formula>"apagado"</formula>
    </cfRule>
  </conditionalFormatting>
  <conditionalFormatting sqref="M673:AN1048576">
    <cfRule type="containsText" dxfId="167" priority="738" operator="containsText" text="Caida">
      <formula>NOT(ISERROR(SEARCH("Caida",M673)))</formula>
    </cfRule>
    <cfRule type="notContainsText" dxfId="166" priority="1071" operator="notContains" text="Caida">
      <formula>ISERROR(SEARCH("Caida",M673))</formula>
    </cfRule>
  </conditionalFormatting>
  <conditionalFormatting sqref="O673:O1192">
    <cfRule type="notContainsText" dxfId="165" priority="367" operator="notContains" text="Caida">
      <formula>ISERROR(SEARCH("Caida",O673))</formula>
    </cfRule>
    <cfRule type="containsText" dxfId="164" priority="368" operator="containsText" text="Caida">
      <formula>NOT(ISERROR(SEARCH("Caida",O673)))</formula>
    </cfRule>
    <cfRule type="cellIs" dxfId="163" priority="497" operator="equal">
      <formula>"APAGADO"</formula>
    </cfRule>
    <cfRule type="cellIs" dxfId="162" priority="393" operator="greaterThan">
      <formula>0.8</formula>
    </cfRule>
    <cfRule type="cellIs" dxfId="161" priority="370" operator="greaterThan">
      <formula>0.8</formula>
    </cfRule>
    <cfRule type="cellIs" dxfId="160" priority="369" operator="lessThan">
      <formula>0.8</formula>
    </cfRule>
  </conditionalFormatting>
  <conditionalFormatting sqref="O673:O1048576">
    <cfRule type="cellIs" dxfId="159" priority="387" operator="equal">
      <formula>$O$16</formula>
    </cfRule>
  </conditionalFormatting>
  <conditionalFormatting sqref="X401">
    <cfRule type="cellIs" dxfId="158" priority="80" operator="equal">
      <formula>"APAGADO"</formula>
    </cfRule>
  </conditionalFormatting>
  <conditionalFormatting sqref="C8:C278 D20:D21 D131:D147 D155:D156 D164:D165 D217:D220 D224:D227 D232:D235 D260 D270:D271 D278 C279:D279 C280:C596 D284:D287 D297:D299 D372:D377 D386:D387 D403:D407 D419:D421 D424:D425 D483:D486 D554:D555">
    <cfRule type="cellIs" dxfId="78" priority="70" operator="equal">
      <formula>$H$281</formula>
    </cfRule>
  </conditionalFormatting>
  <conditionalFormatting sqref="C8:C278 D20:D21 D164:D165 D224:D227 D260 C279:D279 C280:C596 D284:D287 D297:D299 D403:D407 D419:D421 D424:D425 D131:D147 D155:D156 D217:D220 D232:D235 D270:D271 D278 D372:D377 D386:D387 D483:D486 D554:D555">
    <cfRule type="cellIs" dxfId="77" priority="69" operator="equal">
      <formula>$H$300</formula>
    </cfRule>
  </conditionalFormatting>
  <conditionalFormatting sqref="C8:C596 D20:D21 D164:D165 D224:D225 D260 D284:D287 D297:D299 D403:D407 D419:D421 D424:D425">
    <cfRule type="cellIs" dxfId="76" priority="40" operator="equal">
      <formula>"IPCOMS"</formula>
    </cfRule>
  </conditionalFormatting>
  <conditionalFormatting sqref="E8:E568 E583:E596">
    <cfRule type="containsText" dxfId="74" priority="74" operator="containsText" text="fija">
      <formula>NOT(ISERROR(SEARCH("fija",E8)))</formula>
    </cfRule>
    <cfRule type="containsText" dxfId="75" priority="75" operator="containsText" text="domo">
      <formula>NOT(ISERROR(SEARCH("domo",E8)))</formula>
    </cfRule>
  </conditionalFormatting>
  <conditionalFormatting sqref="E8:E596">
    <cfRule type="cellIs" dxfId="73" priority="71" operator="equal">
      <formula>$J$10</formula>
    </cfRule>
  </conditionalFormatting>
  <conditionalFormatting sqref="E34:E35 E162:I232 E236:I401">
    <cfRule type="containsText" dxfId="72" priority="1" operator="containsText" text="Radio">
      <formula>NOT(ISERROR(SEARCH("Radio",E34)))</formula>
    </cfRule>
  </conditionalFormatting>
  <conditionalFormatting sqref="E135:E148 G148:I148">
    <cfRule type="containsText" dxfId="71" priority="13" operator="containsText" text="Radio">
      <formula>NOT(ISERROR(SEARCH("Radio",E135)))</formula>
    </cfRule>
  </conditionalFormatting>
  <conditionalFormatting sqref="E403:E407">
    <cfRule type="containsText" dxfId="70" priority="17" operator="containsText" text="Radio">
      <formula>NOT(ISERROR(SEARCH("Radio",E403)))</formula>
    </cfRule>
  </conditionalFormatting>
  <conditionalFormatting sqref="E570">
    <cfRule type="containsText" dxfId="67" priority="64" operator="containsText" text="fija">
      <formula>NOT(ISERROR(SEARCH("fija",E570)))</formula>
    </cfRule>
    <cfRule type="containsText" dxfId="68" priority="65" operator="containsText" text="domo">
      <formula>NOT(ISERROR(SEARCH("domo",E570)))</formula>
    </cfRule>
    <cfRule type="containsText" dxfId="69" priority="66" operator="containsText" text="Radio">
      <formula>NOT(ISERROR(SEARCH("Radio",E570)))</formula>
    </cfRule>
  </conditionalFormatting>
  <conditionalFormatting sqref="E570:E571">
    <cfRule type="containsText" dxfId="65" priority="61" operator="containsText" text="fija">
      <formula>NOT(ISERROR(SEARCH("fija",E570)))</formula>
    </cfRule>
    <cfRule type="containsText" dxfId="66" priority="62" operator="containsText" text="domo">
      <formula>NOT(ISERROR(SEARCH("domo",E570)))</formula>
    </cfRule>
  </conditionalFormatting>
  <conditionalFormatting sqref="E571">
    <cfRule type="containsText" dxfId="64" priority="59" operator="containsText" text="fija">
      <formula>NOT(ISERROR(SEARCH("fija",E571)))</formula>
    </cfRule>
    <cfRule type="containsText" dxfId="62" priority="60" operator="containsText" text="domo">
      <formula>NOT(ISERROR(SEARCH("domo",E571)))</formula>
    </cfRule>
    <cfRule type="containsText" dxfId="63" priority="63" operator="containsText" text="Radio">
      <formula>NOT(ISERROR(SEARCH("Radio",E571)))</formula>
    </cfRule>
  </conditionalFormatting>
  <conditionalFormatting sqref="E574">
    <cfRule type="containsText" dxfId="59" priority="56" operator="containsText" text="fija">
      <formula>NOT(ISERROR(SEARCH("fija",E574)))</formula>
    </cfRule>
    <cfRule type="containsText" dxfId="60" priority="57" operator="containsText" text="domo">
      <formula>NOT(ISERROR(SEARCH("domo",E574)))</formula>
    </cfRule>
    <cfRule type="containsText" dxfId="61" priority="58" operator="containsText" text="Radio">
      <formula>NOT(ISERROR(SEARCH("Radio",E574)))</formula>
    </cfRule>
  </conditionalFormatting>
  <conditionalFormatting sqref="E574:E575">
    <cfRule type="containsText" dxfId="58" priority="53" operator="containsText" text="fija">
      <formula>NOT(ISERROR(SEARCH("fija",E574)))</formula>
    </cfRule>
    <cfRule type="containsText" dxfId="57" priority="54" operator="containsText" text="domo">
      <formula>NOT(ISERROR(SEARCH("domo",E574)))</formula>
    </cfRule>
  </conditionalFormatting>
  <conditionalFormatting sqref="E575 E48:I134 F135:F136 E234:F235 E402:F402 F403:F407 E408:I423 E424:F425 E426:I568 E583:I596 H402:I402 G402:G407">
    <cfRule type="containsText" dxfId="56" priority="55" operator="containsText" text="Radio">
      <formula>NOT(ISERROR(SEARCH("Radio",E48)))</formula>
    </cfRule>
  </conditionalFormatting>
  <conditionalFormatting sqref="E575:E576">
    <cfRule type="containsText" dxfId="55" priority="50" operator="containsText" text="fija">
      <formula>NOT(ISERROR(SEARCH("fija",E575)))</formula>
    </cfRule>
    <cfRule type="containsText" dxfId="54" priority="51" operator="containsText" text="domo">
      <formula>NOT(ISERROR(SEARCH("domo",E575)))</formula>
    </cfRule>
  </conditionalFormatting>
  <conditionalFormatting sqref="E576">
    <cfRule type="containsText" dxfId="53" priority="52" operator="containsText" text="Radio">
      <formula>NOT(ISERROR(SEARCH("Radio",E576)))</formula>
    </cfRule>
  </conditionalFormatting>
  <conditionalFormatting sqref="E576:E577">
    <cfRule type="containsText" dxfId="51" priority="47" operator="containsText" text="fija">
      <formula>NOT(ISERROR(SEARCH("fija",E576)))</formula>
    </cfRule>
    <cfRule type="containsText" dxfId="52" priority="48" operator="containsText" text="domo">
      <formula>NOT(ISERROR(SEARCH("domo",E576)))</formula>
    </cfRule>
  </conditionalFormatting>
  <conditionalFormatting sqref="E577">
    <cfRule type="containsText" dxfId="48" priority="45" operator="containsText" text="fija">
      <formula>NOT(ISERROR(SEARCH("fija",E577)))</formula>
    </cfRule>
    <cfRule type="containsText" dxfId="49" priority="46" operator="containsText" text="domo">
      <formula>NOT(ISERROR(SEARCH("domo",E577)))</formula>
    </cfRule>
    <cfRule type="containsText" dxfId="50" priority="49" operator="containsText" text="Radio">
      <formula>NOT(ISERROR(SEARCH("Radio",E577)))</formula>
    </cfRule>
  </conditionalFormatting>
  <conditionalFormatting sqref="E581">
    <cfRule type="containsText" dxfId="47" priority="77" operator="containsText" text="fija">
      <formula>NOT(ISERROR(SEARCH("fija",E581)))</formula>
    </cfRule>
    <cfRule type="containsText" dxfId="46" priority="78" operator="containsText" text="domo">
      <formula>NOT(ISERROR(SEARCH("domo",E581)))</formula>
    </cfRule>
  </conditionalFormatting>
  <conditionalFormatting sqref="E584:E587">
    <cfRule type="containsText" dxfId="44" priority="67" operator="containsText" text="fija">
      <formula>NOT(ISERROR(SEARCH("fija",E584)))</formula>
    </cfRule>
    <cfRule type="containsText" dxfId="45" priority="68" operator="containsText" text="domo">
      <formula>NOT(ISERROR(SEARCH("domo",E584)))</formula>
    </cfRule>
  </conditionalFormatting>
  <conditionalFormatting sqref="E233:F233">
    <cfRule type="containsText" dxfId="43" priority="18" operator="containsText" text="Radio">
      <formula>NOT(ISERROR(SEARCH("Radio",E233)))</formula>
    </cfRule>
  </conditionalFormatting>
  <conditionalFormatting sqref="E37:G47">
    <cfRule type="containsText" dxfId="42" priority="6" operator="containsText" text="Radio">
      <formula>NOT(ISERROR(SEARCH("Radio",E37)))</formula>
    </cfRule>
  </conditionalFormatting>
  <conditionalFormatting sqref="E8:I36">
    <cfRule type="containsText" dxfId="41" priority="39" operator="containsText" text="Radio">
      <formula>NOT(ISERROR(SEARCH("Radio",E8)))</formula>
    </cfRule>
  </conditionalFormatting>
  <conditionalFormatting sqref="E149:I161">
    <cfRule type="containsText" dxfId="40" priority="9" operator="containsText" text="Radio">
      <formula>NOT(ISERROR(SEARCH("Radio",E149)))</formula>
    </cfRule>
  </conditionalFormatting>
  <conditionalFormatting sqref="E581:I581 F582">
    <cfRule type="containsText" dxfId="39" priority="79" operator="containsText" text="Radio">
      <formula>NOT(ISERROR(SEARCH("Radio",E581)))</formula>
    </cfRule>
  </conditionalFormatting>
  <conditionalFormatting sqref="F8:F136 F162:F596">
    <cfRule type="cellIs" dxfId="38" priority="41" operator="equal">
      <formula>"GPON"</formula>
    </cfRule>
    <cfRule type="cellIs" dxfId="37" priority="42" operator="equal">
      <formula>"GPON"</formula>
    </cfRule>
  </conditionalFormatting>
  <conditionalFormatting sqref="F139">
    <cfRule type="cellIs" dxfId="36" priority="33" operator="equal">
      <formula>"GPON"</formula>
    </cfRule>
    <cfRule type="cellIs" dxfId="34" priority="34" operator="equal">
      <formula>"GPON"</formula>
    </cfRule>
    <cfRule type="containsText" dxfId="31" priority="35" operator="containsText" text="Radio">
      <formula>NOT(ISERROR(SEARCH("Radio",F139)))</formula>
    </cfRule>
    <cfRule type="cellIs" dxfId="32" priority="36" operator="equal">
      <formula>$K$13</formula>
    </cfRule>
    <cfRule type="cellIs" dxfId="33" priority="37" operator="equal">
      <formula>"PTP A FO"</formula>
    </cfRule>
    <cfRule type="cellIs" dxfId="35" priority="38" operator="equal">
      <formula>"PTP A FO"</formula>
    </cfRule>
  </conditionalFormatting>
  <conditionalFormatting sqref="F142:F149">
    <cfRule type="containsText" dxfId="30" priority="19" operator="containsText" text="Radio">
      <formula>NOT(ISERROR(SEARCH("Radio",F142)))</formula>
    </cfRule>
    <cfRule type="cellIs" dxfId="29" priority="20" operator="equal">
      <formula>$K$13</formula>
    </cfRule>
    <cfRule type="cellIs" dxfId="28" priority="21" operator="equal">
      <formula>"PTP A FO"</formula>
    </cfRule>
    <cfRule type="cellIs" dxfId="27" priority="22" operator="equal">
      <formula>"PTP A FO"</formula>
    </cfRule>
  </conditionalFormatting>
  <conditionalFormatting sqref="F142:F161">
    <cfRule type="cellIs" dxfId="26" priority="7" operator="equal">
      <formula>"GPON"</formula>
    </cfRule>
    <cfRule type="cellIs" dxfId="25" priority="8" operator="equal">
      <formula>"GPON"</formula>
    </cfRule>
  </conditionalFormatting>
  <conditionalFormatting sqref="F146:F147">
    <cfRule type="containsText" dxfId="24" priority="2" operator="containsText" text="Radio">
      <formula>NOT(ISERROR(SEARCH("Radio",F146)))</formula>
    </cfRule>
    <cfRule type="cellIs" dxfId="21" priority="3" operator="equal">
      <formula>$K$13</formula>
    </cfRule>
    <cfRule type="cellIs" dxfId="23" priority="4" operator="equal">
      <formula>"PTP A FO"</formula>
    </cfRule>
    <cfRule type="cellIs" dxfId="22" priority="5" operator="equal">
      <formula>"PTP A FO"</formula>
    </cfRule>
  </conditionalFormatting>
  <conditionalFormatting sqref="F233:F235">
    <cfRule type="cellIs" dxfId="18" priority="26" operator="equal">
      <formula>$K$13</formula>
    </cfRule>
    <cfRule type="cellIs" dxfId="20" priority="27" operator="equal">
      <formula>"PTP A FO"</formula>
    </cfRule>
    <cfRule type="cellIs" dxfId="19" priority="28" operator="equal">
      <formula>"PTP A FO"</formula>
    </cfRule>
  </conditionalFormatting>
  <conditionalFormatting sqref="F234:F235">
    <cfRule type="cellIs" dxfId="15" priority="23" operator="equal">
      <formula>$K$13</formula>
    </cfRule>
    <cfRule type="cellIs" dxfId="16" priority="24" operator="equal">
      <formula>"PTP A FO"</formula>
    </cfRule>
    <cfRule type="cellIs" dxfId="17" priority="25" operator="equal">
      <formula>"PTP A FO"</formula>
    </cfRule>
  </conditionalFormatting>
  <conditionalFormatting sqref="F424:F425">
    <cfRule type="containsText" dxfId="14" priority="29" operator="containsText" text="Radio">
      <formula>NOT(ISERROR(SEARCH("Radio",F424)))</formula>
    </cfRule>
    <cfRule type="cellIs" dxfId="11" priority="30" operator="equal">
      <formula>$K$13</formula>
    </cfRule>
    <cfRule type="cellIs" dxfId="13" priority="31" operator="equal">
      <formula>"PTP A FO"</formula>
    </cfRule>
    <cfRule type="cellIs" dxfId="12" priority="32" operator="equal">
      <formula>"PTP A FO"</formula>
    </cfRule>
  </conditionalFormatting>
  <conditionalFormatting sqref="F569">
    <cfRule type="containsText" dxfId="10" priority="43" operator="containsText" text="Radio">
      <formula>NOT(ISERROR(SEARCH("Radio",F569)))</formula>
    </cfRule>
    <cfRule type="cellIs" dxfId="9" priority="44" operator="equal">
      <formula>"PTP A FO"</formula>
    </cfRule>
  </conditionalFormatting>
  <conditionalFormatting sqref="F8:G134 F135:F136 F162:G232 F236:G423 F424:F425 F426:G568 F581:G581 F582 F583:G596">
    <cfRule type="cellIs" dxfId="8" priority="76" operator="equal">
      <formula>"PTP A FO"</formula>
    </cfRule>
  </conditionalFormatting>
  <conditionalFormatting sqref="F8:G134 F135:F136 F162:G232 F236:G423 F424:F425 F426:G596">
    <cfRule type="cellIs" dxfId="7" priority="73" operator="equal">
      <formula>"PTP A FO"</formula>
    </cfRule>
  </conditionalFormatting>
  <conditionalFormatting sqref="F8:G134 F135:F136 F236:G423 F424:F425 F426:G596 F162:G232">
    <cfRule type="cellIs" dxfId="6" priority="72" operator="equal">
      <formula>$K$13</formula>
    </cfRule>
  </conditionalFormatting>
  <conditionalFormatting sqref="F149:G161">
    <cfRule type="cellIs" dxfId="3" priority="10" operator="equal">
      <formula>$K$13</formula>
    </cfRule>
    <cfRule type="cellIs" dxfId="4" priority="11" operator="equal">
      <formula>"PTP A FO"</formula>
    </cfRule>
    <cfRule type="cellIs" dxfId="5" priority="12" operator="equal">
      <formula>"PTP A FO"</formula>
    </cfRule>
  </conditionalFormatting>
  <conditionalFormatting sqref="G148">
    <cfRule type="cellIs" dxfId="2" priority="14" operator="equal">
      <formula>$K$13</formula>
    </cfRule>
    <cfRule type="cellIs" dxfId="0" priority="15" operator="equal">
      <formula>"PTP A FO"</formula>
    </cfRule>
    <cfRule type="cellIs" dxfId="1" priority="16" operator="equal">
      <formula>"PTP A FO"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C03AA-4E0B-457E-B474-D2A509FFBD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3</vt:i4>
      </vt:variant>
    </vt:vector>
  </HeadingPairs>
  <TitlesOfParts>
    <vt:vector size="4" baseType="lpstr">
      <vt:lpstr>RESUMEN TOTAL</vt:lpstr>
      <vt:lpstr>'RESUMEN TOTAL'!_25_de_agosto</vt:lpstr>
      <vt:lpstr>'RESUMEN TOTAL'!_25_de_agosto_3</vt:lpstr>
      <vt:lpstr>CANTIDAD_DE_CAMARAS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JLDALLEVA</dc:creator>
  <cp:lastModifiedBy>Maxi</cp:lastModifiedBy>
  <cp:lastPrinted>2025-10-13T15:00:43Z</cp:lastPrinted>
  <dcterms:created xsi:type="dcterms:W3CDTF">2022-01-21T13:32:57Z</dcterms:created>
  <dcterms:modified xsi:type="dcterms:W3CDTF">2026-05-15T19:16:25Z</dcterms:modified>
</cp:coreProperties>
</file>