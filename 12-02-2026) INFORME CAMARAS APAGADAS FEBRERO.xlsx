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\Desktop\INFORME-CAMARAS-CIUDADANAS\"/>
    </mc:Choice>
  </mc:AlternateContent>
  <xr:revisionPtr revIDLastSave="0" documentId="13_ncr:1_{8321D12B-4A99-42A2-A4D4-7BF63EEAAA2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" l="1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<sst xmlns="http://schemas.openxmlformats.org/spreadsheetml/2006/main" count="5838" uniqueCount="2325">
  <si>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</si>
  <si>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</si>
  <si>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</si>
  <si>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</si>
  <si>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</si>
  <si>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</si>
  <si>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</si>
  <si>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</si>
  <si>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</si>
  <si>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</si>
  <si>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</si>
  <si>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</si>
  <si>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</si>
  <si>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</si>
  <si>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</si>
  <si>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</si>
  <si>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</si>
  <si>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</si>
  <si>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</si>
  <si>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</si>
  <si>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</si>
  <si>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</si>
  <si>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</si>
  <si>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</si>
  <si>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</si>
  <si>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</si>
  <si>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</si>
  <si>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</si>
  <si>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</si>
  <si>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</si>
  <si>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</si>
  <si>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</si>
  <si>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</si>
  <si>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</si>
  <si>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</si>
  <si>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</si>
  <si>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</si>
  <si>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</si>
  <si>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</si>
  <si>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</si>
  <si>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</si>
  <si>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</si>
  <si>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</si>
  <si>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</si>
  <si>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</si>
  <si>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</si>
  <si>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</si>
  <si>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</si>
  <si>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</si>
  <si>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</si>
  <si>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</si>
  <si>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</si>
  <si>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</si>
  <si>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</si>
  <si>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</si>
  <si>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</si>
  <si>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</si>
  <si>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</si>
  <si>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</si>
  <si>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</si>
  <si>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</si>
  <si>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</si>
  <si>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</si>
  <si>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</si>
  <si>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</si>
  <si>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</si>
  <si>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</si>
  <si>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</si>
  <si>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</si>
  <si>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</si>
  <si>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</si>
  <si>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</si>
  <si>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</si>
  <si>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</si>
  <si>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</si>
  <si>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</si>
  <si>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</si>
  <si>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</si>
  <si>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</si>
  <si>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</si>
  <si>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</si>
  <si>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</si>
  <si>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</si>
  <si>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</si>
  <si>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</si>
  <si>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</si>
  <si>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</si>
  <si>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</si>
  <si>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</si>
  <si>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</si>
  <si>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</si>
  <si>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</si>
  <si>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</si>
  <si>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</si>
  <si>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</si>
  <si>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</si>
  <si>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</si>
  <si>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</si>
  <si>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</si>
  <si>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</si>
  <si>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</si>
  <si>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</si>
  <si>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</si>
  <si>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</si>
  <si>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</si>
  <si>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</si>
  <si>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</si>
  <si>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</si>
  <si>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</si>
  <si>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</si>
  <si>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</si>
  <si>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</si>
  <si>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</si>
  <si>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</si>
  <si>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</si>
  <si>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</si>
  <si>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</si>
  <si>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</si>
  <si>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</si>
  <si>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</si>
  <si>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</si>
  <si>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</si>
  <si>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</si>
  <si>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</si>
  <si>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</si>
  <si>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</si>
  <si>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</si>
  <si>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</si>
  <si>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</si>
  <si>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</si>
  <si>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</si>
  <si>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</si>
  <si>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</si>
  <si>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</si>
  <si>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</si>
  <si>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</si>
  <si>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</si>
  <si>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</si>
  <si>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</si>
  <si>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</si>
  <si>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</si>
  <si>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</si>
  <si>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</si>
  <si>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</si>
  <si>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</si>
  <si>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</si>
  <si>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</si>
  <si>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</si>
  <si>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</si>
  <si>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</si>
  <si>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</si>
  <si>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</si>
  <si>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</si>
  <si>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</si>
  <si>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</si>
  <si>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</si>
  <si>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</si>
  <si>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</si>
  <si>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</si>
  <si>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</si>
  <si>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</si>
  <si>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</si>
  <si>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</si>
  <si>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</si>
  <si>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</si>
  <si>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</si>
  <si>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</si>
  <si>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</si>
  <si>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</si>
  <si>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</si>
  <si>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</si>
  <si>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</si>
  <si>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</si>
  <si>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</si>
  <si>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</si>
  <si>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</si>
  <si>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</si>
  <si>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</si>
  <si>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</si>
  <si>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</si>
  <si>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</si>
  <si>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</si>
  <si>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</si>
  <si>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</si>
  <si>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</si>
  <si>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</si>
  <si>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</si>
  <si>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</si>
  <si>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</si>
  <si>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</si>
  <si>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</si>
  <si>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</si>
  <si>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</si>
  <si>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</si>
  <si>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</si>
  <si>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</si>
  <si>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</si>
  <si>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</si>
  <si>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</si>
  <si>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</si>
  <si>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</si>
  <si>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</si>
  <si>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</si>
  <si>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</si>
  <si>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</si>
  <si>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</si>
  <si>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</si>
  <si>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</si>
  <si>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</si>
  <si>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</si>
  <si>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</si>
  <si>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</si>
  <si>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</si>
  <si>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</si>
  <si>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</si>
  <si>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</si>
  <si>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</si>
  <si>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</si>
  <si>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</si>
  <si>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</si>
  <si>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</si>
  <si>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</si>
  <si>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</si>
  <si>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</si>
  <si>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</si>
  <si>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</si>
  <si>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</si>
  <si>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</si>
  <si>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</si>
  <si>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</si>
  <si>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</si>
  <si>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</si>
  <si>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</si>
  <si>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</si>
  <si>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</si>
  <si>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</si>
  <si>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</si>
  <si>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</si>
  <si>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</si>
  <si>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</si>
  <si>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</si>
  <si>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</si>
  <si>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</si>
  <si>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</si>
  <si>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</si>
  <si>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</si>
  <si>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</si>
  <si>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</si>
  <si>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</si>
  <si>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</si>
  <si>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</si>
  <si>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</si>
  <si>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</si>
  <si>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</si>
  <si>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</si>
  <si>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</si>
  <si>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</si>
  <si>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</si>
  <si>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</si>
  <si>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</si>
  <si>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</si>
  <si>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</si>
  <si>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</si>
  <si>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</si>
  <si>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</si>
  <si>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</si>
  <si>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</si>
  <si>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</si>
  <si>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</si>
  <si>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</si>
  <si>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</si>
  <si>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</si>
  <si>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</si>
  <si>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</si>
  <si>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</si>
  <si>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</si>
  <si>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</si>
  <si>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</si>
  <si>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</si>
  <si>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</si>
  <si>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</si>
  <si>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</si>
  <si>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</si>
  <si>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</si>
  <si>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</si>
  <si>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</si>
  <si>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</si>
  <si>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</si>
  <si>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</si>
  <si>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</si>
  <si>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</si>
  <si>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</si>
  <si>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</si>
  <si>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</si>
  <si>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</si>
  <si>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</si>
  <si>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</si>
  <si>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</si>
  <si>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</si>
  <si>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</si>
  <si>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</si>
  <si>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</si>
  <si>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</si>
  <si>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</si>
  <si>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</si>
  <si>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</si>
  <si>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</si>
  <si>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</si>
  <si>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</si>
  <si>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</si>
  <si>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</si>
  <si>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</si>
  <si>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</si>
  <si>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</si>
  <si>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</si>
  <si>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</si>
  <si>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</si>
  <si>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</si>
  <si>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</si>
  <si>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</si>
  <si>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</si>
  <si>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</si>
  <si>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</si>
  <si>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</si>
  <si>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</si>
  <si>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</si>
  <si>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</si>
  <si>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</si>
  <si>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</si>
  <si>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</si>
  <si>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</si>
  <si>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</si>
  <si>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</si>
  <si>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</si>
  <si>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</si>
  <si>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</si>
  <si>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</si>
  <si>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</si>
  <si>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</si>
  <si>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</si>
  <si>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</si>
  <si>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</si>
  <si>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</si>
  <si>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</si>
  <si>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</si>
  <si>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</si>
  <si>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</si>
  <si>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</si>
  <si>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</si>
  <si>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</si>
  <si>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</si>
  <si>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</si>
  <si>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</si>
  <si>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</si>
  <si>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</si>
  <si>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</si>
  <si>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</si>
  <si>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</si>
  <si>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</si>
  <si>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</si>
  <si>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</si>
  <si>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</si>
  <si>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</si>
  <si>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</si>
  <si>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</si>
  <si>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</si>
  <si>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</si>
  <si>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</si>
  <si>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</si>
  <si>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</si>
  <si>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</si>
  <si>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</si>
  <si>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</si>
  <si>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</si>
  <si>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</si>
  <si>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</si>
  <si>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</si>
  <si>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</si>
  <si>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</si>
  <si>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</si>
  <si>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</si>
  <si>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</si>
  <si>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</si>
  <si>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</si>
  <si>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</si>
  <si>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</si>
  <si>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</si>
  <si>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</si>
  <si>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</si>
  <si>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</si>
  <si>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</si>
  <si>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</si>
  <si>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</si>
  <si>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</si>
  <si>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</si>
  <si>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</si>
  <si>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</si>
  <si>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</si>
  <si>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</si>
  <si>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</si>
  <si>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</si>
  <si>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</si>
  <si>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</si>
  <si>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</si>
  <si>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</si>
  <si>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</si>
  <si>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</si>
  <si>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</si>
  <si>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</si>
  <si>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</si>
  <si>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</si>
  <si>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</si>
  <si>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</si>
  <si>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</si>
  <si>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</si>
  <si>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</si>
  <si>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</si>
  <si>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</si>
  <si>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</si>
  <si>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</si>
  <si>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</si>
  <si>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</si>
  <si>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</si>
  <si>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</si>
  <si>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</si>
  <si>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</si>
  <si>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</si>
  <si>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</si>
  <si>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</si>
  <si>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</si>
  <si>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</si>
  <si>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</si>
  <si>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</si>
  <si>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</si>
  <si>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</si>
  <si>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</si>
  <si>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</si>
  <si>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</si>
  <si>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</si>
  <si>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</si>
  <si>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</si>
  <si>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</si>
  <si>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</si>
  <si>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</si>
  <si>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</si>
  <si>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</si>
  <si>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</si>
  <si>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</si>
  <si>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</si>
  <si>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</si>
  <si>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</si>
  <si>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</si>
  <si>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</si>
  <si>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</si>
  <si>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</si>
  <si>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</si>
  <si>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</si>
  <si>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</si>
  <si>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</si>
  <si>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</si>
  <si>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</si>
  <si>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</si>
  <si>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</si>
  <si>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</si>
  <si>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</si>
  <si>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</si>
  <si>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</si>
  <si>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</si>
  <si>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</si>
  <si>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</si>
  <si>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</si>
  <si>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</si>
  <si>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</si>
  <si>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</si>
  <si>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</si>
  <si>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</si>
  <si>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</si>
  <si>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</si>
  <si>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</si>
  <si>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</si>
  <si>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</si>
  <si>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</si>
  <si>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</si>
  <si>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</si>
  <si>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</si>
  <si>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</si>
  <si>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</si>
  <si>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</si>
  <si>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</si>
  <si>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</si>
  <si>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</si>
  <si>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</si>
  <si>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</si>
  <si>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</si>
  <si>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</si>
  <si>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</si>
  <si>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</si>
  <si>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</si>
  <si>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</si>
  <si>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</si>
  <si>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</si>
  <si>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</si>
  <si>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</si>
  <si>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</si>
  <si>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</si>
  <si>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</si>
  <si>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</si>
  <si>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</si>
  <si>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</si>
  <si>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</si>
  <si>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</si>
  <si>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</si>
  <si>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</si>
  <si>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</si>
  <si>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</si>
  <si>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</si>
  <si>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</si>
  <si>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</si>
  <si>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</si>
  <si>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</si>
  <si>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</si>
  <si>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</si>
  <si>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</si>
  <si>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</si>
  <si>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</si>
  <si>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</si>
  <si>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</si>
  <si>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</si>
  <si>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</si>
  <si>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</si>
  <si>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</si>
  <si>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</si>
  <si>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</si>
  <si>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</si>
  <si>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</si>
  <si>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</si>
  <si>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</si>
  <si>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</si>
  <si>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</si>
  <si>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</si>
  <si>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</si>
  <si>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</si>
  <si>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</si>
  <si>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</si>
  <si>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</si>
  <si>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</si>
  <si>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</si>
  <si>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</si>
  <si>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</si>
  <si>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</si>
  <si>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</si>
  <si>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</si>
  <si>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</si>
  <si>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</si>
  <si>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</si>
  <si>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</si>
  <si>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</si>
  <si>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</si>
  <si>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</si>
  <si>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</si>
  <si>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</si>
  <si>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</si>
  <si>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</si>
  <si>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</si>
  <si>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</si>
  <si>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</si>
  <si>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</si>
  <si>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</si>
  <si>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</si>
  <si>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</si>
  <si>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</si>
  <si>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</si>
  <si>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</si>
  <si>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</si>
  <si>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</si>
  <si>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</si>
  <si>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</si>
  <si>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</si>
  <si>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</si>
  <si>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</si>
  <si>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</si>
  <si>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</si>
  <si>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</si>
  <si>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</si>
  <si>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</si>
  <si>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</si>
  <si>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</si>
  <si>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</si>
  <si>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</si>
  <si>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</si>
  <si>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</si>
  <si>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</si>
  <si>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</si>
  <si>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</si>
  <si>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</si>
  <si>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</si>
  <si>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</si>
  <si>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</si>
  <si>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</si>
  <si>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</si>
  <si>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</si>
  <si>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</si>
  <si>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</si>
  <si>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</si>
  <si>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</si>
  <si>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</si>
  <si>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</si>
  <si>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</si>
  <si>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</si>
  <si>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</si>
  <si>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</si>
  <si>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</si>
  <si>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</si>
  <si>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</si>
  <si>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</si>
  <si>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</si>
  <si>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</si>
  <si>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</si>
  <si>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</si>
  <si>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</si>
  <si>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</si>
  <si>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</si>
  <si>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</si>
  <si>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</si>
  <si>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</si>
  <si>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</si>
  <si>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</si>
  <si>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</si>
  <si>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</si>
  <si>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</si>
  <si>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</si>
  <si>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</si>
  <si>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</si>
  <si>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</si>
  <si>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</si>
  <si>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</si>
  <si>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</si>
  <si>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</si>
  <si>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</si>
  <si>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</si>
  <si>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</si>
  <si>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</si>
  <si>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</si>
  <si>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</si>
  <si>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</si>
  <si>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</si>
  <si>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</si>
  <si>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</si>
  <si>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</si>
  <si>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</si>
  <si>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</si>
  <si>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</si>
  <si>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</si>
  <si>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</si>
  <si>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</si>
  <si>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</si>
  <si>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</si>
  <si>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</si>
  <si>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</si>
  <si>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</si>
  <si>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</si>
  <si>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</si>
  <si>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</si>
  <si>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</si>
  <si>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</si>
  <si>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</si>
  <si>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</si>
  <si>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</si>
  <si>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</si>
  <si>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</si>
  <si>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</si>
  <si>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</si>
  <si>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</si>
  <si>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</si>
  <si>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</si>
  <si>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</si>
  <si>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</si>
  <si>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</si>
  <si>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</si>
  <si>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</si>
  <si>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</si>
  <si>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</si>
  <si>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</si>
  <si>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</si>
  <si>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</si>
  <si>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</si>
  <si>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</si>
  <si>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</si>
  <si>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</si>
  <si>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</si>
  <si>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</si>
  <si>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</si>
  <si>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</si>
  <si>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</si>
  <si>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</si>
  <si>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</si>
  <si>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</si>
  <si>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</si>
  <si>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</si>
  <si>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</si>
  <si>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</si>
  <si>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</si>
  <si>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</si>
  <si>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</si>
  <si>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</si>
  <si>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</si>
  <si>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</si>
  <si>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</si>
  <si>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</si>
  <si>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</si>
  <si>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</si>
  <si>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</si>
  <si>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</si>
  <si>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</si>
  <si>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</si>
  <si>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</si>
  <si>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</si>
  <si>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</si>
  <si>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</si>
  <si>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</si>
  <si>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</si>
  <si>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</si>
  <si>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</si>
  <si>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</si>
  <si>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</si>
  <si>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</si>
  <si>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</si>
  <si>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</si>
  <si>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</si>
  <si>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</si>
  <si>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</si>
  <si>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</si>
  <si>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</si>
  <si>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</si>
  <si>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</si>
  <si>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</si>
  <si>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</si>
  <si>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</si>
  <si>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</si>
  <si>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</si>
  <si>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</si>
  <si>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</si>
  <si>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</si>
  <si>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</si>
  <si>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</si>
  <si>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</si>
  <si>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</si>
  <si>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</si>
  <si>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</si>
  <si>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</si>
  <si>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</si>
  <si>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</si>
  <si>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</si>
  <si>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</si>
  <si>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</si>
  <si>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</si>
  <si>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</si>
  <si>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</si>
  <si>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</si>
  <si>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</si>
  <si>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</si>
  <si>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</si>
  <si>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</si>
  <si>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</si>
  <si>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</si>
  <si>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</si>
  <si>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</si>
  <si>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</si>
  <si>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</si>
  <si>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</si>
  <si>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</si>
  <si>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</si>
  <si>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</si>
  <si>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</si>
  <si>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</si>
  <si>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</si>
  <si>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</si>
  <si>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</si>
  <si>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</si>
  <si>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</si>
  <si>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</si>
  <si>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</si>
  <si>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</si>
  <si>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</si>
  <si>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</si>
  <si>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</si>
  <si>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</si>
  <si>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</si>
  <si>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</si>
  <si>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</si>
  <si>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</si>
  <si>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</si>
  <si>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</si>
  <si>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</si>
  <si>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</si>
  <si>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</si>
  <si>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</si>
  <si>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</si>
  <si>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</si>
  <si>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</si>
  <si>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</si>
  <si>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</si>
  <si>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</si>
  <si>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</si>
  <si>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</si>
  <si>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</si>
  <si>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</si>
  <si>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</si>
  <si>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</si>
  <si>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</si>
  <si>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</si>
  <si>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</si>
  <si>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</si>
  <si>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</si>
  <si>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</si>
  <si>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</si>
  <si>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</si>
  <si>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</si>
  <si>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</si>
  <si>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</si>
  <si>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</si>
  <si>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</si>
  <si>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</si>
  <si>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</si>
  <si>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</si>
  <si>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</si>
  <si>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</si>
  <si>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</si>
  <si>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</si>
  <si>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</si>
  <si>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</si>
  <si>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</si>
  <si>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</si>
  <si>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</si>
  <si>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</si>
  <si>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</si>
  <si>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</si>
  <si>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</si>
  <si>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</si>
  <si>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</si>
  <si>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</si>
  <si>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</si>
  <si>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</si>
  <si>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</si>
  <si>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</si>
  <si>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</si>
  <si>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</si>
  <si>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</si>
  <si>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</si>
  <si>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</si>
  <si>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</si>
  <si>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</si>
  <si>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</si>
  <si>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</si>
  <si>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</si>
  <si>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</si>
  <si>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</si>
  <si>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</si>
  <si>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</si>
  <si>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</si>
  <si>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</si>
  <si>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</si>
  <si>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</si>
  <si>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</si>
  <si>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</si>
  <si>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</si>
  <si>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</si>
  <si>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</si>
  <si>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</si>
  <si>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</si>
  <si>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</si>
  <si>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</si>
  <si>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</si>
  <si>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</si>
  <si>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</si>
  <si>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</si>
  <si>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</si>
  <si>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</si>
  <si>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</si>
  <si>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</si>
  <si>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</si>
  <si>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</si>
  <si>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</si>
  <si>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</si>
  <si>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</si>
  <si>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</si>
  <si>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</si>
  <si>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</si>
  <si>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</si>
  <si>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</si>
  <si>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</si>
  <si>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</si>
  <si>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</si>
  <si>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</si>
  <si>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</si>
  <si>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</si>
  <si>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</si>
  <si>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</si>
  <si>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</si>
  <si>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</si>
  <si>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</si>
  <si>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</si>
  <si>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</si>
  <si>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</si>
  <si>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</si>
  <si>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</si>
  <si>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</si>
  <si>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</si>
  <si>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</si>
  <si>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</si>
  <si>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</si>
  <si>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</si>
  <si>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</si>
  <si>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</si>
  <si>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</si>
  <si>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</si>
  <si>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</si>
  <si>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</si>
  <si>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</si>
  <si>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</si>
  <si>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</si>
  <si>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</si>
  <si>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</si>
  <si>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</si>
  <si>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</si>
  <si>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</si>
  <si>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</si>
  <si>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</si>
  <si>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</si>
  <si>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</si>
  <si>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</si>
  <si>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</si>
  <si>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</si>
  <si>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</si>
  <si>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</si>
  <si>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</si>
  <si>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</si>
  <si>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</si>
  <si>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</si>
  <si>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</si>
  <si>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</si>
  <si>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</si>
  <si>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</si>
  <si>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</si>
  <si>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</si>
  <si>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</si>
  <si>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</si>
  <si>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</si>
  <si>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</si>
  <si>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</si>
  <si>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</si>
  <si>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</si>
  <si>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</si>
  <si>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</si>
  <si>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</si>
  <si>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</si>
  <si>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</si>
  <si>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</si>
  <si>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</si>
  <si>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</si>
  <si>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</si>
  <si>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</si>
  <si>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</si>
  <si>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</si>
  <si>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</si>
  <si>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</si>
  <si>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</si>
  <si>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</si>
  <si>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</si>
  <si>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</si>
  <si>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</si>
  <si>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</si>
  <si>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</si>
  <si>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</si>
  <si>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</si>
  <si>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</si>
  <si>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</si>
  <si>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</si>
  <si>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</si>
  <si>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</si>
  <si>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</si>
  <si>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</si>
  <si>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</si>
  <si>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</si>
  <si>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</si>
  <si>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</si>
  <si>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</si>
  <si>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</si>
  <si>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</si>
  <si>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</si>
  <si>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</si>
  <si>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</si>
  <si>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</si>
  <si>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</si>
  <si>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</si>
  <si>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</si>
  <si>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</si>
  <si>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</si>
  <si>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</si>
  <si>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</si>
  <si>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</si>
  <si>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</si>
  <si>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</si>
  <si>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</si>
  <si>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</si>
  <si>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</si>
  <si>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</si>
  <si>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</si>
  <si>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</si>
  <si>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</si>
  <si>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</si>
  <si>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</si>
  <si>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</si>
  <si>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</si>
  <si>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</si>
  <si>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</si>
  <si>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</si>
  <si>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</si>
  <si>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</si>
  <si>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</si>
  <si>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</si>
  <si>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</si>
  <si>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</si>
  <si>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</si>
  <si>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</si>
  <si>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</si>
  <si>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</si>
  <si>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</si>
  <si>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</si>
  <si>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</si>
  <si>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</si>
  <si>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</si>
  <si>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</si>
  <si>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</si>
  <si>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</si>
  <si>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</si>
  <si>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</si>
  <si>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</si>
  <si>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</si>
  <si>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</si>
  <si>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</si>
  <si>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</si>
  <si>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</si>
  <si>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</si>
  <si>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</si>
  <si>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</si>
  <si>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</si>
  <si>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</si>
  <si>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</si>
  <si>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</si>
  <si>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</si>
  <si>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</si>
  <si>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</si>
  <si>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</si>
  <si>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</si>
  <si>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</si>
  <si>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</si>
  <si>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</si>
  <si>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</si>
  <si>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</si>
  <si>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</si>
  <si>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</si>
  <si>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</si>
  <si>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</si>
  <si>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</si>
  <si>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</si>
  <si>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</si>
  <si>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</si>
  <si>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</si>
  <si>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</si>
  <si>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</si>
  <si>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</si>
  <si>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</si>
  <si>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</si>
  <si>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</si>
  <si>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</si>
  <si>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</si>
  <si>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</si>
  <si>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</si>
  <si>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</si>
  <si>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</si>
  <si>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</si>
  <si>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</si>
  <si>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</si>
  <si>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</si>
  <si>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</si>
  <si>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</si>
  <si>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</si>
  <si>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</si>
  <si>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</si>
  <si>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</si>
  <si>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</si>
  <si>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</si>
  <si>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</si>
  <si>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</si>
  <si>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</si>
  <si>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</si>
  <si>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</si>
  <si>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</si>
  <si>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</si>
  <si>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</si>
  <si>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</si>
  <si>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</si>
  <si>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</si>
  <si>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</si>
  <si>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</si>
  <si>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</si>
  <si>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</si>
  <si>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</si>
  <si>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</si>
  <si>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</si>
  <si>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</si>
  <si>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</si>
  <si>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</si>
  <si>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</si>
  <si>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</si>
  <si>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</si>
  <si>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</si>
  <si>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</si>
  <si>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</si>
  <si>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</si>
  <si>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</si>
  <si>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</si>
  <si>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</si>
  <si>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</si>
  <si>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</si>
  <si>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</si>
  <si>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</si>
  <si>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</si>
  <si>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</si>
  <si>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</si>
  <si>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</si>
  <si>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</si>
  <si>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</si>
  <si>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</si>
  <si>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</si>
  <si>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</si>
  <si>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</si>
  <si>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</si>
  <si>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</si>
  <si>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</si>
  <si>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</si>
  <si>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</si>
  <si>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</si>
  <si>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</si>
  <si>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</si>
  <si>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</si>
  <si>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</si>
  <si>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</si>
  <si>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</si>
  <si>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</si>
  <si>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</si>
  <si>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</si>
  <si>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</si>
  <si>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</si>
  <si>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</si>
  <si>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</si>
  <si>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</si>
  <si>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</si>
  <si>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</si>
  <si>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</si>
  <si>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</si>
  <si>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</si>
  <si>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</si>
  <si>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</si>
  <si>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</si>
  <si>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</si>
  <si>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</si>
  <si>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</si>
  <si>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</si>
  <si>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</si>
  <si>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</si>
  <si>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</si>
  <si>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</si>
  <si>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</si>
  <si>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</si>
  <si>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</si>
  <si>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</si>
  <si>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</si>
  <si>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</si>
  <si>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</si>
  <si>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</si>
  <si>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</si>
  <si>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</si>
  <si>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</si>
  <si>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</si>
  <si>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</si>
  <si>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</si>
  <si>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</si>
  <si>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</si>
  <si>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</si>
  <si>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</si>
  <si>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</si>
  <si>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</si>
  <si>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</si>
  <si>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</si>
  <si>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</si>
  <si>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</si>
  <si>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</si>
  <si>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</si>
  <si>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</si>
  <si>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</si>
  <si>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</si>
  <si>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</si>
  <si>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</si>
  <si>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</si>
  <si>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</si>
  <si>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</si>
  <si>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</si>
  <si>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</si>
  <si>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</si>
  <si>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</si>
  <si>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</si>
  <si>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</si>
  <si>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</si>
  <si>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</si>
  <si>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</si>
  <si>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</si>
  <si>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</si>
  <si>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</si>
  <si>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</si>
  <si>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</si>
  <si>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</si>
  <si>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</si>
  <si>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</si>
  <si>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</si>
  <si>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</si>
  <si>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</si>
  <si>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</si>
  <si>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</si>
  <si>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</si>
  <si>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</si>
  <si>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</si>
  <si>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</si>
  <si>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</si>
  <si>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</si>
  <si>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</si>
  <si>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</si>
  <si>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</si>
  <si>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</si>
  <si>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</si>
  <si>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</si>
  <si>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</si>
  <si>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</si>
  <si>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</si>
  <si>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</si>
  <si>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</si>
  <si>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</si>
  <si>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</si>
  <si>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</si>
  <si>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</si>
  <si>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</si>
  <si>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</si>
  <si>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</si>
  <si>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</si>
  <si>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</si>
  <si>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</si>
  <si>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</si>
  <si>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</si>
  <si>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</si>
  <si>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</si>
  <si>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</si>
  <si>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</si>
  <si>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</si>
  <si>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</si>
  <si>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</si>
  <si>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</si>
  <si>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</si>
  <si>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</si>
  <si>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</si>
  <si>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</si>
  <si>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</si>
  <si>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</si>
  <si>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</si>
  <si>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</si>
  <si>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</si>
  <si>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</si>
  <si>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</si>
  <si>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</si>
  <si>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</si>
  <si>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</si>
  <si>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</si>
  <si>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</si>
  <si>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</si>
  <si>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</si>
  <si>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</si>
  <si>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</si>
  <si>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</si>
  <si>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</si>
  <si>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</si>
  <si>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</si>
  <si>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</si>
  <si>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</si>
  <si>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</si>
  <si>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</si>
  <si>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</si>
  <si>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</si>
  <si>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</si>
  <si>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</si>
  <si>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</si>
  <si>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</si>
  <si>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</si>
  <si>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</si>
  <si>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</si>
  <si>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</si>
  <si>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</si>
  <si>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</si>
  <si>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</si>
  <si>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</si>
  <si>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</si>
  <si>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</si>
  <si>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</si>
  <si>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</si>
  <si>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</si>
  <si>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</si>
  <si>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</si>
  <si>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</si>
  <si>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</si>
  <si>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</si>
  <si>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</si>
  <si>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</si>
  <si>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</si>
  <si>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</si>
  <si>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</si>
  <si>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</si>
  <si>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</si>
  <si>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</si>
  <si>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</si>
  <si>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</si>
  <si>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</si>
  <si>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</si>
  <si>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</si>
  <si>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</si>
  <si>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</si>
  <si>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</si>
  <si>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</si>
  <si>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</si>
  <si>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</si>
  <si>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</si>
  <si>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</si>
  <si>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</si>
  <si>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</si>
  <si>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</si>
  <si>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</si>
  <si>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</si>
  <si>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</si>
  <si>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</si>
  <si>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</si>
  <si>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</si>
  <si>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</si>
  <si>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</si>
  <si>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</si>
  <si>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</si>
  <si>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</si>
  <si>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</si>
  <si>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</si>
  <si>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</si>
  <si>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</si>
  <si>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</si>
  <si>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</si>
  <si>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</si>
  <si>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</si>
  <si>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</si>
  <si>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</si>
  <si>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</si>
  <si>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</si>
  <si>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</si>
  <si>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</si>
  <si>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</si>
  <si>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</si>
  <si>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</si>
  <si>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</si>
  <si>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</si>
  <si>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</si>
  <si>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</si>
  <si>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</si>
  <si>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</si>
  <si>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</si>
  <si>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</si>
  <si>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</si>
  <si>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</si>
  <si>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</si>
  <si>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</si>
  <si>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</si>
  <si>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</si>
  <si>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</si>
  <si>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</si>
  <si>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</si>
  <si>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</si>
  <si>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</si>
  <si>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</si>
  <si>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</si>
  <si>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</si>
  <si>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</si>
  <si>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</si>
  <si>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</si>
  <si>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</si>
  <si>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</si>
  <si>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</si>
  <si>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</si>
  <si>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</si>
  <si>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</si>
  <si>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</si>
  <si>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</si>
  <si>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</si>
  <si>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</si>
  <si>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</si>
  <si>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</si>
  <si>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</si>
  <si>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</si>
  <si>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</si>
  <si>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</si>
  <si>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</si>
  <si>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</si>
  <si>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</si>
  <si>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</si>
  <si>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</si>
  <si>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</si>
  <si>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</si>
  <si>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</si>
  <si>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</si>
  <si>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</si>
  <si>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</si>
  <si>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</si>
  <si>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</si>
  <si>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</si>
  <si>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</si>
  <si>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</si>
  <si>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</si>
  <si>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</si>
  <si>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</si>
  <si>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</si>
  <si>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</si>
  <si>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</si>
  <si>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</si>
  <si>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</si>
  <si>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</si>
  <si>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</si>
  <si>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</si>
  <si>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</si>
  <si>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</si>
  <si>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</si>
  <si>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</si>
  <si>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</si>
  <si>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</si>
  <si>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</si>
  <si>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</si>
  <si>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</si>
  <si>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</si>
  <si>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</si>
  <si>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</si>
  <si>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</si>
  <si>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</si>
  <si>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</si>
  <si>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</si>
  <si>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</si>
  <si>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</si>
  <si>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</si>
  <si>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</si>
  <si>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</si>
  <si>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</si>
  <si>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</si>
  <si>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</si>
  <si>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</si>
  <si>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</si>
  <si>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</si>
  <si>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</si>
  <si>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</si>
  <si>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</si>
  <si>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</si>
  <si>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</si>
  <si>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</si>
  <si>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</si>
  <si>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</si>
  <si>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</si>
  <si>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</si>
  <si>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</si>
  <si>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</si>
  <si>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</si>
  <si>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</si>
  <si>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</si>
  <si>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</si>
  <si>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</si>
  <si>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</si>
  <si>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</si>
  <si>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</si>
  <si>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</si>
  <si>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</si>
  <si>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</si>
  <si>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</si>
  <si>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</si>
  <si>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</si>
  <si>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</si>
  <si>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</si>
  <si>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</si>
  <si>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</si>
  <si>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</si>
  <si>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</si>
  <si>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</si>
  <si>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</si>
  <si>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</si>
  <si>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</si>
  <si>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</si>
  <si>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</si>
  <si>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</si>
  <si>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</si>
  <si>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</si>
  <si>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</si>
  <si>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</si>
  <si>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</si>
  <si>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</si>
  <si>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</si>
  <si>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</si>
  <si>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</si>
  <si>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</si>
  <si>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</si>
  <si>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</si>
  <si>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</si>
  <si>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</si>
  <si>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</si>
  <si>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</si>
  <si>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</si>
  <si>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</si>
  <si>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</si>
  <si>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</si>
  <si>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</si>
  <si>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</si>
  <si>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</si>
  <si>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</si>
  <si>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</si>
  <si>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</si>
  <si>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</si>
  <si>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</si>
  <si>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</si>
  <si>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</si>
  <si>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</si>
  <si>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</si>
  <si>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</si>
  <si>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</si>
  <si>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</si>
  <si>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</si>
  <si>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</si>
  <si>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</si>
  <si>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</si>
  <si>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</si>
  <si>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</si>
  <si>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</si>
  <si>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</si>
  <si>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</si>
  <si>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</si>
  <si>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</si>
  <si>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</si>
  <si>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</si>
  <si>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</si>
  <si>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</si>
  <si>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</si>
  <si>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</si>
  <si>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</si>
  <si>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</si>
  <si>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</si>
  <si>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</si>
  <si>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</si>
  <si>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</si>
  <si>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</si>
  <si>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</si>
  <si>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</si>
  <si>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</si>
  <si>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</si>
  <si>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</si>
  <si>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</si>
  <si>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</si>
  <si>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</si>
  <si>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</si>
  <si>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</si>
  <si>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</si>
  <si>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</si>
  <si>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</si>
  <si>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</si>
  <si>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</si>
  <si>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</si>
  <si>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</si>
  <si>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</si>
  <si>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</si>
  <si>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</si>
  <si>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</si>
  <si>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</si>
  <si>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</si>
  <si>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</si>
  <si>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</si>
  <si>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</si>
  <si>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</si>
  <si>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</si>
  <si>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</si>
  <si>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</si>
  <si>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</si>
  <si>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</si>
  <si>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</si>
  <si>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</si>
  <si>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</si>
  <si>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</si>
  <si>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</si>
  <si>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</si>
  <si>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</si>
  <si>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</si>
  <si>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</si>
  <si>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</si>
  <si>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</si>
  <si>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</si>
  <si>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</si>
  <si>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</si>
  <si>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</si>
  <si>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</si>
  <si>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</si>
  <si>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</si>
  <si>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</si>
  <si>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</si>
  <si>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</si>
  <si>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</si>
  <si>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</si>
  <si>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</si>
  <si>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</si>
  <si>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</si>
  <si>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</si>
  <si>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</si>
  <si>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</si>
  <si>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</si>
  <si>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</si>
  <si>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</si>
  <si>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</si>
  <si>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</si>
  <si>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</si>
  <si>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</si>
  <si>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</si>
  <si>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</si>
  <si>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</si>
  <si>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</si>
  <si>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</si>
  <si>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</si>
  <si>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</si>
  <si>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</si>
  <si>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</si>
  <si>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</si>
  <si>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</si>
  <si>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</si>
  <si>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</si>
  <si>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</si>
  <si>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</si>
  <si>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</si>
  <si>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</si>
  <si>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</si>
  <si>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</si>
  <si>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</si>
  <si>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</si>
  <si>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</si>
  <si>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</si>
  <si>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</si>
  <si>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</si>
  <si>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</si>
  <si>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</si>
  <si>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</si>
  <si>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</si>
  <si>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</si>
  <si>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</si>
  <si>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</si>
  <si>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</si>
  <si>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</si>
  <si>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</si>
  <si>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</si>
  <si>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</si>
  <si>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</si>
  <si>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</si>
  <si>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</si>
  <si>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</si>
  <si>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</si>
  <si>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</si>
  <si>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</si>
  <si>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</si>
  <si>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</si>
  <si>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</si>
  <si>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</si>
  <si>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</si>
  <si>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</si>
  <si>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</si>
  <si>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</si>
  <si>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</si>
  <si>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</si>
  <si>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</si>
  <si>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</si>
  <si>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</si>
  <si>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</si>
  <si>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</si>
  <si>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</si>
  <si>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</si>
  <si>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</si>
  <si>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</si>
  <si>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</si>
  <si>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</si>
  <si>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</si>
  <si>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</si>
  <si>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</si>
  <si>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</si>
  <si>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</si>
  <si>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</si>
  <si>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</si>
  <si>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</si>
  <si>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</si>
  <si>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</si>
  <si>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</si>
  <si>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</si>
  <si>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</si>
  <si>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</si>
  <si>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</si>
  <si>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</si>
  <si>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</si>
  <si>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</si>
  <si>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</si>
  <si>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</si>
  <si>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</si>
  <si>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</si>
  <si>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</si>
  <si>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</si>
  <si>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</si>
  <si>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</si>
  <si>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</si>
  <si>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</si>
  <si>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</si>
  <si>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</si>
  <si>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</si>
  <si>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</si>
  <si>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</si>
  <si>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</si>
  <si>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</si>
  <si>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</si>
  <si>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</si>
  <si>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</si>
  <si>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</si>
  <si>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</si>
  <si>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</si>
  <si>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</si>
  <si>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</si>
  <si>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</si>
  <si>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</si>
  <si>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</si>
  <si>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</si>
  <si>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</si>
  <si>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</si>
  <si>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</si>
  <si>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</si>
  <si>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</si>
  <si>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</si>
  <si>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</si>
  <si>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</si>
  <si>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</si>
  <si>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</si>
  <si>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</si>
  <si>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</si>
  <si>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</si>
  <si>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</si>
  <si>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</si>
  <si>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</si>
  <si>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</si>
  <si>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</si>
  <si>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</si>
  <si>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</si>
  <si>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</si>
  <si>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</si>
  <si>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</si>
  <si>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</si>
  <si>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</si>
  <si>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</si>
  <si>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</si>
  <si>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</si>
  <si>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</si>
  <si>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</si>
  <si>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</si>
  <si>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</si>
  <si>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</si>
  <si>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</si>
  <si>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</si>
  <si>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</si>
  <si>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</si>
  <si>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</si>
  <si>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</si>
  <si>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</si>
  <si>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</si>
  <si>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</si>
  <si>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</si>
  <si>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</si>
  <si>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</si>
  <si>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</si>
  <si>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</si>
  <si>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</si>
  <si>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</si>
  <si>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</si>
  <si>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</si>
  <si>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</si>
  <si>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</si>
  <si>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</si>
  <si>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</si>
  <si>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</si>
  <si>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</si>
  <si>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</si>
  <si>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</si>
  <si>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</si>
  <si>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</si>
  <si>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</si>
  <si>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</si>
  <si>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</si>
  <si>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</si>
  <si>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</si>
  <si>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</si>
  <si>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</si>
  <si>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</si>
  <si>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</si>
  <si>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</si>
  <si>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</si>
  <si>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</si>
  <si>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</si>
  <si>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</si>
  <si>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</si>
  <si>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</si>
  <si>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</si>
  <si>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</si>
  <si>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</si>
  <si>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</si>
  <si>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</si>
  <si>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</si>
  <si>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</si>
  <si>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</si>
  <si>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</si>
  <si>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</si>
  <si>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</si>
  <si>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</si>
  <si>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</si>
  <si>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</si>
  <si>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</si>
  <si>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</si>
  <si>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</si>
  <si>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</si>
  <si>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</si>
  <si>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</si>
  <si>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</si>
  <si>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</si>
  <si>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</si>
  <si>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</si>
  <si>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</si>
  <si>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</si>
  <si>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</si>
  <si>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</si>
  <si>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</si>
  <si>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</si>
  <si>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</si>
  <si>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</si>
  <si>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</si>
  <si>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</si>
  <si>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</si>
  <si>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</si>
  <si>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</si>
  <si>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</si>
  <si>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</si>
  <si>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</si>
  <si>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</si>
  <si>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</si>
  <si>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</si>
  <si>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</si>
  <si>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</si>
  <si>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</si>
  <si>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</si>
  <si>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</si>
  <si>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</si>
  <si>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</si>
  <si>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</si>
  <si>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</si>
  <si>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</si>
  <si>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</si>
  <si>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</si>
  <si>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</si>
  <si>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</si>
  <si>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</si>
  <si>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</si>
  <si>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</si>
  <si>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</si>
  <si>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</si>
  <si>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</si>
  <si>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</si>
  <si>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</si>
  <si>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</si>
  <si>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</si>
  <si>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</si>
  <si>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</si>
  <si>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</si>
  <si>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</si>
  <si>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</si>
  <si>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</si>
  <si>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</si>
  <si>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</si>
  <si>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</si>
  <si>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</si>
  <si>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</si>
  <si>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</si>
  <si>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</si>
  <si>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</si>
  <si>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</si>
  <si>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</si>
  <si>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</si>
  <si>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</si>
  <si>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</si>
  <si>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</si>
  <si>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</si>
  <si>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</si>
  <si>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</si>
  <si>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</si>
  <si>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</si>
  <si>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</si>
  <si>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</si>
  <si>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</si>
  <si>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</si>
  <si>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</si>
  <si>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</si>
  <si>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</si>
  <si>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</si>
  <si>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</si>
  <si>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</si>
  <si>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</si>
  <si>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</si>
  <si>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</si>
  <si>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</si>
  <si>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</si>
  <si>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</si>
  <si>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</si>
  <si>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</si>
  <si>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</si>
  <si>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</si>
  <si>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</si>
  <si>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</si>
  <si>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</si>
  <si>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</si>
  <si>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</si>
  <si>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</si>
  <si>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</si>
  <si>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</si>
  <si>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</si>
  <si>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</si>
  <si>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</si>
  <si>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</si>
  <si>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</si>
  <si>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</si>
  <si>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</si>
  <si>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</si>
  <si>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</si>
  <si>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</si>
  <si>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</si>
  <si>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</si>
  <si>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</si>
  <si>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</si>
  <si>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</si>
  <si>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</si>
  <si>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</si>
  <si>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</si>
  <si>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</si>
  <si>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</si>
  <si>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</si>
  <si>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</si>
  <si>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</si>
  <si>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</si>
  <si>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</si>
  <si>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</si>
  <si>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</si>
  <si>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</si>
  <si>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</si>
  <si>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</si>
  <si>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</si>
  <si>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</si>
  <si>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</si>
  <si>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</si>
  <si>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</si>
  <si>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</si>
  <si>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</si>
  <si>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</si>
  <si>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</si>
  <si>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</si>
  <si>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</si>
  <si>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</si>
  <si>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</si>
  <si>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</si>
  <si>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</si>
  <si>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</si>
  <si>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</si>
  <si>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</si>
  <si>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</si>
  <si>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</si>
  <si>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</si>
  <si>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</si>
  <si>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</si>
  <si>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</si>
  <si>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</si>
  <si>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</si>
  <si>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</si>
  <si>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</si>
  <si>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</si>
  <si>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</si>
  <si>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</si>
  <si>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</si>
  <si>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</si>
  <si>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</si>
  <si>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</si>
  <si>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</si>
  <si>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</si>
  <si>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</si>
  <si>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</si>
  <si>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</si>
  <si>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</si>
  <si>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</si>
  <si>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</si>
  <si>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</si>
  <si>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</si>
  <si>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</si>
  <si>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</si>
  <si>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</si>
  <si>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</si>
  <si>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</si>
  <si>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</si>
  <si>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</si>
  <si>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</si>
  <si>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</si>
  <si>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</si>
  <si>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</si>
  <si>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</si>
  <si>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</si>
  <si>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</si>
  <si>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</si>
  <si>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</si>
  <si>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</si>
  <si>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</si>
  <si>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</si>
  <si>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</si>
  <si>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</si>
  <si>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</si>
  <si>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</si>
  <si>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</si>
  <si>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</si>
  <si>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</si>
  <si>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</si>
  <si>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</si>
  <si>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</si>
  <si>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</si>
  <si>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</si>
  <si>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</si>
  <si>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</si>
  <si>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</si>
  <si>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</si>
  <si>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</si>
  <si>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</si>
  <si>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</si>
  <si>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</si>
  <si>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</si>
  <si>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</si>
  <si>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</si>
  <si>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</si>
  <si>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</si>
  <si>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</si>
  <si>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</si>
  <si>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</si>
  <si>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</si>
  <si>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</si>
  <si>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</si>
  <si>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</si>
  <si>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</si>
  <si>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</si>
  <si>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</si>
  <si>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</si>
  <si>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</si>
  <si>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</si>
  <si>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</si>
  <si>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</si>
  <si>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</si>
  <si>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</si>
  <si>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</si>
  <si>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</si>
  <si>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</si>
  <si>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</si>
  <si>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</si>
  <si>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</si>
  <si>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</si>
  <si>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</si>
  <si>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</si>
  <si>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</si>
  <si>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</si>
  <si>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</si>
  <si>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</si>
  <si>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</si>
  <si>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</si>
  <si>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</si>
  <si>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</si>
  <si>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</si>
  <si>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</si>
  <si>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</si>
  <si>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</si>
  <si>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</si>
  <si>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</si>
  <si>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</si>
  <si>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</si>
  <si>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</si>
  <si>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</si>
  <si>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</si>
  <si>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</si>
  <si>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</si>
  <si>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</si>
  <si>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</si>
  <si>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</si>
  <si>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</si>
  <si>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</si>
  <si>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</si>
  <si>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</si>
  <si>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</si>
  <si>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</si>
  <si>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</si>
  <si>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</si>
  <si>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</si>
  <si>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</si>
  <si>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</si>
  <si>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</si>
  <si>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</si>
  <si>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</si>
  <si>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</si>
  <si>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</si>
  <si>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</si>
  <si>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</si>
  <si>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</si>
  <si>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</si>
  <si>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</si>
  <si>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</si>
  <si>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</si>
  <si>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</si>
  <si>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</si>
  <si>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</si>
  <si>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</si>
  <si>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</si>
  <si>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</si>
  <si>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</si>
  <si>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</si>
  <si>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</si>
  <si>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</si>
  <si>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</si>
  <si>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</si>
  <si>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</si>
  <si>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</si>
  <si>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</si>
  <si>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</si>
  <si>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</si>
  <si>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</si>
  <si>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</si>
  <si>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</si>
  <si>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</si>
  <si>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</si>
  <si>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</si>
  <si>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</si>
  <si>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</si>
  <si>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</si>
  <si>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</si>
  <si>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</si>
  <si>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</si>
  <si>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</si>
  <si>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</si>
  <si>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</si>
  <si>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</si>
  <si>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</si>
  <si>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</si>
  <si>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</si>
  <si>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</si>
  <si>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</si>
  <si>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</si>
  <si>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</si>
  <si>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</si>
  <si>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</si>
  <si>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</si>
  <si>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</si>
  <si>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</si>
  <si>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</si>
  <si>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</si>
  <si>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</si>
  <si>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</si>
  <si>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</si>
  <si>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</si>
  <si>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</si>
  <si>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</si>
  <si>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</si>
  <si>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</si>
  <si>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</si>
  <si>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</si>
  <si>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</si>
  <si>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</si>
  <si>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</si>
  <si>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</si>
  <si>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</si>
  <si>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</si>
  <si>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</si>
  <si>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</si>
  <si>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</si>
  <si>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</si>
  <si>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</si>
  <si>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</si>
  <si>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</si>
  <si>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</si>
  <si>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</si>
  <si>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</si>
  <si>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</si>
  <si>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</si>
  <si>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</si>
  <si>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</si>
  <si>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</si>
  <si>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</si>
  <si>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</si>
  <si>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</si>
  <si>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</si>
  <si>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</si>
  <si>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</si>
  <si>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</si>
  <si>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</si>
  <si>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</si>
  <si>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</si>
  <si>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</si>
  <si>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</si>
  <si>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</si>
  <si>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</si>
  <si>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</si>
  <si>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</si>
  <si>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</si>
  <si>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</si>
  <si>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</si>
  <si>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</si>
  <si>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</si>
  <si>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</si>
  <si>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</si>
  <si>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</si>
  <si>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</si>
  <si>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</si>
  <si>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</si>
  <si>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</si>
  <si>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</si>
  <si>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</si>
  <si>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</si>
  <si>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</si>
  <si>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</si>
  <si>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</si>
  <si>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</si>
  <si>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</si>
  <si>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</si>
  <si>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</si>
  <si>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</si>
  <si>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</si>
  <si>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</si>
  <si>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</si>
  <si>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</si>
  <si>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</si>
  <si>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</si>
  <si>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</si>
  <si>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</si>
  <si>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</si>
  <si>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</si>
  <si>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</si>
  <si>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</si>
  <si>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</si>
  <si>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</si>
  <si>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</si>
  <si>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</si>
  <si>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</si>
  <si>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</si>
  <si>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</si>
  <si>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</si>
  <si>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</si>
  <si>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</si>
  <si>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</si>
  <si>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</si>
  <si>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</si>
  <si>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</si>
  <si>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</si>
  <si>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</si>
  <si>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</si>
  <si>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</si>
  <si>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</si>
  <si>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</si>
  <si>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</si>
  <si>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</si>
  <si>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</si>
  <si>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</si>
  <si>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</si>
  <si>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</si>
  <si>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</si>
  <si>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</si>
  <si>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</si>
  <si>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</si>
  <si>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</si>
  <si>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</si>
  <si>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</si>
  <si>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</si>
  <si>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</si>
  <si>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</si>
  <si>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</si>
  <si>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</si>
  <si>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</si>
  <si>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</si>
  <si>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</si>
  <si>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</si>
  <si>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</si>
  <si>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</si>
  <si>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</si>
  <si>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</si>
  <si>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</si>
  <si>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</si>
  <si>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</si>
  <si>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</si>
  <si>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</si>
  <si>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</si>
  <si>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</si>
  <si>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</si>
  <si>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</si>
  <si>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</si>
  <si>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</si>
  <si>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</si>
  <si>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</si>
  <si>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</si>
  <si>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</si>
  <si>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</si>
  <si>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[IP]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</si>
</sst>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3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tabSelected="1" zoomScale="80" zoomScaleNormal="80" workbookViewId="0">
      <pane xSplit="12" ySplit="7" topLeftCell="W320" activePane="bottomRight" state="frozen"/>
      <selection pane="topRight" activeCell="M1" sqref="M1"/>
      <selection pane="bottomLeft" activeCell="A5" sqref="A5"/>
      <selection pane="bottomRight" activeCell="B300" sqref="B300:B327"/>
    </sheetView>
  </sheetViews>
  <sheetFormatPr baseColWidth="10" defaultColWidth="11.5703125" defaultRowHeight="15" x14ac:dyDescent="0.25"/>
  <cols>
    <col min="1" max="1" width="20.5703125" hidden="1" customWidth="1"/>
    <col min="2" max="2" width="66.7109375" style="30" customWidth="1"/>
    <col min="3" max="3" width="15.85546875" style="30" customWidth="1"/>
    <col min="4" max="4" width="44.140625" customWidth="1"/>
    <col min="5" max="5" width="21.140625" style="61" customWidth="1"/>
    <col min="6" max="6" width="21.140625" style="65" customWidth="1"/>
    <col min="7" max="7" width="21.140625" style="65" hidden="1" customWidth="1"/>
    <col min="8" max="8" width="21.140625" style="65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1462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1463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1464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 t="s">
        <v>2324</v>
      </c>
      <c r="I7" s="19" t="s">
        <v>2</v>
      </c>
      <c r="J7" s="19" t="s">
        <v>1661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21</v>
      </c>
      <c r="J8" s="146" t="s">
        <v>1662</v>
      </c>
      <c r="K8" s="31">
        <f t="shared" ref="K8:K86" si="5">COUNTIF(M8:AN8,"APAGADO")</f>
        <v>7</v>
      </c>
      <c r="L8" s="32">
        <f t="shared" ref="L8:L86" si="6">(I8)/(K8+I8)</f>
        <v>0.75</v>
      </c>
      <c r="M8" s="70"/>
      <c r="N8" s="70"/>
      <c r="O8" s="70"/>
      <c r="P8" s="70" t="s">
        <v>2283</v>
      </c>
      <c r="Q8" s="70" t="s">
        <v>2283</v>
      </c>
      <c r="R8" s="70" t="s">
        <v>2283</v>
      </c>
      <c r="S8" s="70"/>
      <c r="T8" s="70"/>
      <c r="U8" s="70" t="s">
        <v>2283</v>
      </c>
      <c r="V8" s="70" t="s">
        <v>2283</v>
      </c>
      <c r="W8" s="70" t="s">
        <v>2283</v>
      </c>
      <c r="X8" s="70" t="s">
        <v>2283</v>
      </c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18</v>
      </c>
      <c r="J9" s="146" t="s">
        <v>1663</v>
      </c>
      <c r="K9" s="31">
        <f t="shared" si="5"/>
        <v>10</v>
      </c>
      <c r="L9" s="32">
        <f t="shared" si="6"/>
        <v>0.6428571428571429</v>
      </c>
      <c r="M9" s="70" t="s">
        <v>2283</v>
      </c>
      <c r="N9" s="70" t="s">
        <v>2283</v>
      </c>
      <c r="O9" s="70" t="s">
        <v>2283</v>
      </c>
      <c r="P9" s="70" t="s">
        <v>2283</v>
      </c>
      <c r="Q9" s="70" t="s">
        <v>2283</v>
      </c>
      <c r="R9" s="70" t="s">
        <v>2283</v>
      </c>
      <c r="S9" s="70"/>
      <c r="T9" s="70"/>
      <c r="U9" s="70" t="s">
        <v>2283</v>
      </c>
      <c r="V9" s="70" t="s">
        <v>2283</v>
      </c>
      <c r="W9" s="70" t="s">
        <v>2283</v>
      </c>
      <c r="X9" s="70" t="s">
        <v>2283</v>
      </c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1664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1665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1666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1667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21</v>
      </c>
      <c r="J14" s="146" t="s">
        <v>1668</v>
      </c>
      <c r="K14" s="31">
        <f t="shared" si="5"/>
        <v>7</v>
      </c>
      <c r="L14" s="32">
        <f t="shared" si="6"/>
        <v>0.75</v>
      </c>
      <c r="M14" s="70"/>
      <c r="N14" s="70"/>
      <c r="O14" s="70"/>
      <c r="P14" s="70" t="s">
        <v>2283</v>
      </c>
      <c r="Q14" s="70" t="s">
        <v>2283</v>
      </c>
      <c r="R14" s="70" t="s">
        <v>2283</v>
      </c>
      <c r="S14" s="70"/>
      <c r="T14" s="70"/>
      <c r="U14" s="70" t="s">
        <v>2283</v>
      </c>
      <c r="V14" s="70" t="s">
        <v>2283</v>
      </c>
      <c r="W14" s="70" t="s">
        <v>2283</v>
      </c>
      <c r="X14" s="70" t="s">
        <v>2283</v>
      </c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1669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1670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1671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1525</v>
      </c>
      <c r="C18" t="s">
        <v>1060</v>
      </c>
      <c r="D18" s="68" t="s">
        <v>1526</v>
      </c>
      <c r="E18" s="30" t="s">
        <v>73</v>
      </c>
      <c r="F18" s="85" t="s">
        <v>1299</v>
      </c>
      <c r="G18" s="30"/>
      <c r="H18" s="30" t="s">
        <v>1527</v>
      </c>
      <c r="I18" s="31">
        <f t="shared" si="4"/>
        <v>28</v>
      </c>
      <c r="J18" s="87" t="s">
        <v>2154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18</v>
      </c>
      <c r="J19" s="146" t="s">
        <v>1672</v>
      </c>
      <c r="K19" s="31">
        <f t="shared" si="5"/>
        <v>10</v>
      </c>
      <c r="L19" s="32">
        <f t="shared" si="6"/>
        <v>0.6428571428571429</v>
      </c>
      <c r="M19" s="70" t="s">
        <v>2283</v>
      </c>
      <c r="N19" s="70" t="s">
        <v>2283</v>
      </c>
      <c r="O19" s="70" t="s">
        <v>2283</v>
      </c>
      <c r="P19" s="70" t="s">
        <v>2283</v>
      </c>
      <c r="Q19" s="70" t="s">
        <v>2283</v>
      </c>
      <c r="R19" s="70" t="s">
        <v>2283</v>
      </c>
      <c r="S19" s="70"/>
      <c r="T19" s="70"/>
      <c r="U19" s="70" t="s">
        <v>2283</v>
      </c>
      <c r="V19" s="70" t="s">
        <v>2283</v>
      </c>
      <c r="W19" s="70" t="s">
        <v>2283</v>
      </c>
      <c r="X19" s="70" t="s">
        <v>2283</v>
      </c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1539</v>
      </c>
      <c r="C20" s="73" t="s">
        <v>1060</v>
      </c>
      <c r="D20" s="73" t="s">
        <v>1540</v>
      </c>
      <c r="E20" s="85" t="s">
        <v>73</v>
      </c>
      <c r="F20" s="85" t="s">
        <v>1299</v>
      </c>
      <c r="G20" s="85"/>
      <c r="H20" s="85" t="s">
        <v>1541</v>
      </c>
      <c r="I20" s="31">
        <f t="shared" si="4"/>
        <v>18</v>
      </c>
      <c r="J20" s="146" t="s">
        <v>1673</v>
      </c>
      <c r="K20" s="31">
        <f t="shared" si="5"/>
        <v>10</v>
      </c>
      <c r="L20" s="32">
        <f t="shared" si="6"/>
        <v>0.6428571428571429</v>
      </c>
      <c r="M20" s="70" t="s">
        <v>2283</v>
      </c>
      <c r="N20" s="70" t="s">
        <v>2283</v>
      </c>
      <c r="O20" s="70" t="s">
        <v>2283</v>
      </c>
      <c r="P20" s="70" t="s">
        <v>2283</v>
      </c>
      <c r="Q20" s="70" t="s">
        <v>2283</v>
      </c>
      <c r="R20" s="70" t="s">
        <v>2283</v>
      </c>
      <c r="S20" s="70"/>
      <c r="T20" s="70"/>
      <c r="U20" s="70" t="s">
        <v>2283</v>
      </c>
      <c r="V20" s="70" t="s">
        <v>2283</v>
      </c>
      <c r="W20" s="70" t="s">
        <v>2283</v>
      </c>
      <c r="X20" s="70" t="s">
        <v>2283</v>
      </c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1568</v>
      </c>
      <c r="C21" s="73" t="s">
        <v>1060</v>
      </c>
      <c r="D21" s="73" t="s">
        <v>1569</v>
      </c>
      <c r="E21" s="85" t="s">
        <v>73</v>
      </c>
      <c r="F21" s="85" t="s">
        <v>1299</v>
      </c>
      <c r="G21" s="85"/>
      <c r="H21" s="85" t="s">
        <v>1570</v>
      </c>
      <c r="I21" s="31">
        <f t="shared" si="4"/>
        <v>28</v>
      </c>
      <c r="J21" s="146" t="s">
        <v>1674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1675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1355</v>
      </c>
      <c r="I23" s="31">
        <f t="shared" si="4"/>
        <v>28</v>
      </c>
      <c r="J23" s="146" t="s">
        <v>1676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1677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2283</v>
      </c>
      <c r="R24" s="70" t="s">
        <v>2283</v>
      </c>
      <c r="S24" s="70"/>
      <c r="T24" s="70"/>
      <c r="U24" s="70" t="s">
        <v>2283</v>
      </c>
      <c r="V24" s="70" t="s">
        <v>2283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1678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2283</v>
      </c>
      <c r="R25" s="70" t="s">
        <v>2283</v>
      </c>
      <c r="S25" s="70"/>
      <c r="T25" s="70"/>
      <c r="U25" s="70" t="s">
        <v>2283</v>
      </c>
      <c r="V25" s="70" t="s">
        <v>2283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1679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2283</v>
      </c>
      <c r="R26" s="70" t="s">
        <v>2283</v>
      </c>
      <c r="S26" s="70"/>
      <c r="T26" s="70"/>
      <c r="U26" s="70" t="s">
        <v>2283</v>
      </c>
      <c r="V26" s="70" t="s">
        <v>2283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1680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2283</v>
      </c>
      <c r="R27" s="70" t="s">
        <v>2283</v>
      </c>
      <c r="S27" s="70"/>
      <c r="T27" s="70"/>
      <c r="U27" s="70" t="s">
        <v>2283</v>
      </c>
      <c r="V27" s="70" t="s">
        <v>2283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1681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1682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1192</v>
      </c>
      <c r="B30" s="85" t="s">
        <v>1345</v>
      </c>
      <c r="C30" s="73" t="s">
        <v>1060</v>
      </c>
      <c r="D30" s="73" t="s">
        <v>1346</v>
      </c>
      <c r="E30" s="85" t="s">
        <v>19</v>
      </c>
      <c r="F30" s="85" t="s">
        <v>1299</v>
      </c>
      <c r="G30" s="85"/>
      <c r="H30" s="85" t="s">
        <v>1353</v>
      </c>
      <c r="I30" s="141">
        <f t="shared" si="4"/>
        <v>28</v>
      </c>
      <c r="J30" s="146" t="s">
        <v>1683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1192</v>
      </c>
      <c r="B31" s="85" t="s">
        <v>1593</v>
      </c>
      <c r="C31" s="85" t="s">
        <v>1061</v>
      </c>
      <c r="D31" s="73" t="s">
        <v>1596</v>
      </c>
      <c r="E31" s="85" t="s">
        <v>19</v>
      </c>
      <c r="F31" s="85" t="s">
        <v>1299</v>
      </c>
      <c r="G31" s="85"/>
      <c r="H31" s="85" t="s">
        <v>1597</v>
      </c>
      <c r="I31" s="141">
        <f t="shared" si="4"/>
        <v>28</v>
      </c>
      <c r="J31" s="87" t="s">
        <v>2155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1192</v>
      </c>
      <c r="B32" s="85" t="s">
        <v>1594</v>
      </c>
      <c r="C32" s="85" t="s">
        <v>1061</v>
      </c>
      <c r="D32" s="73" t="s">
        <v>1600</v>
      </c>
      <c r="E32" s="85" t="s">
        <v>73</v>
      </c>
      <c r="F32" s="85" t="s">
        <v>1299</v>
      </c>
      <c r="G32" s="85"/>
      <c r="H32" s="85" t="s">
        <v>1598</v>
      </c>
      <c r="I32" s="141">
        <f t="shared" si="4"/>
        <v>28</v>
      </c>
      <c r="J32" s="87" t="s">
        <v>2156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1192</v>
      </c>
      <c r="B33" s="85" t="s">
        <v>1595</v>
      </c>
      <c r="C33" s="85" t="s">
        <v>1061</v>
      </c>
      <c r="D33" s="73" t="s">
        <v>1600</v>
      </c>
      <c r="E33" s="85" t="s">
        <v>73</v>
      </c>
      <c r="F33" s="85" t="s">
        <v>1299</v>
      </c>
      <c r="G33" s="85"/>
      <c r="H33" s="85" t="s">
        <v>1599</v>
      </c>
      <c r="I33" s="141">
        <f t="shared" si="4"/>
        <v>28</v>
      </c>
      <c r="J33" s="87" t="s">
        <v>2157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1192</v>
      </c>
      <c r="B34" s="85" t="s">
        <v>2306</v>
      </c>
      <c r="C34" s="85" t="s">
        <v>1061</v>
      </c>
      <c r="D34" s="73" t="s">
        <v>2307</v>
      </c>
      <c r="E34" s="85" t="s">
        <v>19</v>
      </c>
      <c r="F34" s="85" t="s">
        <v>1299</v>
      </c>
      <c r="G34" s="85"/>
      <c r="H34" s="85" t="s">
        <v>2308</v>
      </c>
      <c r="I34" s="141">
        <f t="shared" si="4"/>
        <v>28</v>
      </c>
      <c r="J34" s="151" t="s">
        <v>2309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2153</v>
      </c>
      <c r="B35" s="132" t="s">
        <v>1347</v>
      </c>
      <c r="C35" s="131" t="s">
        <v>1061</v>
      </c>
      <c r="D35" s="131" t="s">
        <v>1348</v>
      </c>
      <c r="E35" s="132" t="s">
        <v>19</v>
      </c>
      <c r="F35" s="132" t="s">
        <v>28</v>
      </c>
      <c r="G35" s="132"/>
      <c r="H35" s="132" t="s">
        <v>1443</v>
      </c>
      <c r="I35" s="133">
        <f t="shared" si="4"/>
        <v>18</v>
      </c>
      <c r="J35" s="146" t="s">
        <v>1684</v>
      </c>
      <c r="K35" s="133">
        <f t="shared" si="5"/>
        <v>10</v>
      </c>
      <c r="L35" s="134">
        <f t="shared" si="6"/>
        <v>0.6428571428571429</v>
      </c>
      <c r="M35" s="135" t="s">
        <v>2283</v>
      </c>
      <c r="N35" s="135" t="s">
        <v>2283</v>
      </c>
      <c r="O35" s="135" t="s">
        <v>2283</v>
      </c>
      <c r="P35" s="135" t="s">
        <v>2283</v>
      </c>
      <c r="Q35" s="135" t="s">
        <v>2283</v>
      </c>
      <c r="R35" s="135" t="s">
        <v>2283</v>
      </c>
      <c r="S35" s="135"/>
      <c r="T35" s="135"/>
      <c r="U35" s="135" t="s">
        <v>2283</v>
      </c>
      <c r="V35" s="135" t="s">
        <v>2283</v>
      </c>
      <c r="W35" s="135" t="s">
        <v>2283</v>
      </c>
      <c r="X35" s="135" t="s">
        <v>2283</v>
      </c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2153</v>
      </c>
      <c r="B36" s="85" t="s">
        <v>1397</v>
      </c>
      <c r="C36" s="73" t="s">
        <v>1061</v>
      </c>
      <c r="D36" s="73" t="s">
        <v>1398</v>
      </c>
      <c r="E36" s="85" t="s">
        <v>19</v>
      </c>
      <c r="F36" s="85" t="s">
        <v>1299</v>
      </c>
      <c r="G36" s="85"/>
      <c r="H36" s="85" t="s">
        <v>1399</v>
      </c>
      <c r="I36" s="141">
        <f t="shared" si="4"/>
        <v>20</v>
      </c>
      <c r="J36" s="87" t="s">
        <v>2158</v>
      </c>
      <c r="K36" s="141">
        <f t="shared" si="5"/>
        <v>8</v>
      </c>
      <c r="L36" s="142">
        <f t="shared" si="6"/>
        <v>0.7142857142857143</v>
      </c>
      <c r="M36" s="70"/>
      <c r="N36" s="70"/>
      <c r="O36" s="70" t="s">
        <v>2283</v>
      </c>
      <c r="P36" s="70" t="s">
        <v>2283</v>
      </c>
      <c r="Q36" s="70" t="s">
        <v>2283</v>
      </c>
      <c r="R36" s="70" t="s">
        <v>2283</v>
      </c>
      <c r="S36" s="70"/>
      <c r="T36" s="70"/>
      <c r="U36" s="70" t="s">
        <v>2283</v>
      </c>
      <c r="V36" s="70" t="s">
        <v>2283</v>
      </c>
      <c r="W36" s="70" t="s">
        <v>2283</v>
      </c>
      <c r="X36" s="70" t="s">
        <v>2283</v>
      </c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2153</v>
      </c>
      <c r="B37" s="85" t="s">
        <v>2149</v>
      </c>
      <c r="C37" s="73" t="s">
        <v>1061</v>
      </c>
      <c r="D37" s="73" t="s">
        <v>2150</v>
      </c>
      <c r="E37" s="85" t="s">
        <v>19</v>
      </c>
      <c r="F37" s="85" t="s">
        <v>1299</v>
      </c>
      <c r="G37" s="85"/>
      <c r="H37" s="85" t="s">
        <v>2151</v>
      </c>
      <c r="I37" s="141">
        <f t="shared" si="4"/>
        <v>18</v>
      </c>
      <c r="J37" s="87" t="s">
        <v>2152</v>
      </c>
      <c r="K37" s="141">
        <f t="shared" si="5"/>
        <v>10</v>
      </c>
      <c r="L37" s="142">
        <f t="shared" si="6"/>
        <v>0.6428571428571429</v>
      </c>
      <c r="M37" s="70" t="s">
        <v>2283</v>
      </c>
      <c r="N37" s="70" t="s">
        <v>2283</v>
      </c>
      <c r="O37" s="70" t="s">
        <v>2283</v>
      </c>
      <c r="P37" s="70" t="s">
        <v>2283</v>
      </c>
      <c r="Q37" s="70" t="s">
        <v>2283</v>
      </c>
      <c r="R37" s="70" t="s">
        <v>2283</v>
      </c>
      <c r="S37" s="70"/>
      <c r="T37" s="70"/>
      <c r="U37" s="70" t="s">
        <v>2283</v>
      </c>
      <c r="V37" s="70" t="s">
        <v>2283</v>
      </c>
      <c r="W37" s="70" t="s">
        <v>2283</v>
      </c>
      <c r="X37" s="70" t="s">
        <v>2283</v>
      </c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1192</v>
      </c>
      <c r="B38" s="85" t="s">
        <v>1507</v>
      </c>
      <c r="C38" s="73" t="s">
        <v>1061</v>
      </c>
      <c r="D38" s="73" t="s">
        <v>1508</v>
      </c>
      <c r="E38" s="85" t="s">
        <v>19</v>
      </c>
      <c r="F38" s="85" t="s">
        <v>1299</v>
      </c>
      <c r="G38" s="85"/>
      <c r="H38" s="85" t="s">
        <v>1509</v>
      </c>
      <c r="I38" s="141">
        <f t="shared" si="4"/>
        <v>28</v>
      </c>
      <c r="J38" s="87" t="s">
        <v>2159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1455</v>
      </c>
      <c r="B39" s="30" t="s">
        <v>1454</v>
      </c>
      <c r="C39" t="s">
        <v>1061</v>
      </c>
      <c r="D39" t="s">
        <v>1453</v>
      </c>
      <c r="E39" s="30" t="s">
        <v>73</v>
      </c>
      <c r="F39" s="30" t="s">
        <v>28</v>
      </c>
      <c r="G39" s="30"/>
      <c r="H39" s="85" t="s">
        <v>1457</v>
      </c>
      <c r="I39" s="31">
        <f t="shared" si="4"/>
        <v>28</v>
      </c>
      <c r="J39" s="146" t="s">
        <v>1685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1455</v>
      </c>
      <c r="B40" s="30" t="s">
        <v>1456</v>
      </c>
      <c r="C40" t="s">
        <v>1061</v>
      </c>
      <c r="D40" t="s">
        <v>1453</v>
      </c>
      <c r="E40" s="30" t="s">
        <v>73</v>
      </c>
      <c r="F40" s="30" t="s">
        <v>28</v>
      </c>
      <c r="G40" s="30"/>
      <c r="H40" s="85" t="s">
        <v>1458</v>
      </c>
      <c r="I40" s="31">
        <f t="shared" si="4"/>
        <v>28</v>
      </c>
      <c r="J40" s="146" t="s">
        <v>1686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1455</v>
      </c>
      <c r="B41" s="30" t="s">
        <v>1634</v>
      </c>
      <c r="C41" t="s">
        <v>1061</v>
      </c>
      <c r="D41" t="s">
        <v>1636</v>
      </c>
      <c r="E41" s="30" t="s">
        <v>73</v>
      </c>
      <c r="F41" s="30" t="s">
        <v>28</v>
      </c>
      <c r="G41" s="30"/>
      <c r="H41" s="85" t="s">
        <v>1637</v>
      </c>
      <c r="I41" s="31">
        <f t="shared" si="4"/>
        <v>28</v>
      </c>
      <c r="J41" s="87" t="s">
        <v>2160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1455</v>
      </c>
      <c r="B42" s="30" t="s">
        <v>1635</v>
      </c>
      <c r="C42" t="s">
        <v>1061</v>
      </c>
      <c r="D42" t="s">
        <v>1636</v>
      </c>
      <c r="E42" s="30" t="s">
        <v>73</v>
      </c>
      <c r="F42" s="30" t="s">
        <v>28</v>
      </c>
      <c r="G42" s="30"/>
      <c r="H42" s="85" t="s">
        <v>1638</v>
      </c>
      <c r="I42" s="31">
        <f t="shared" si="4"/>
        <v>28</v>
      </c>
      <c r="J42" s="87" t="s">
        <v>2185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1455</v>
      </c>
      <c r="B43" s="30" t="s">
        <v>1642</v>
      </c>
      <c r="C43" t="s">
        <v>1061</v>
      </c>
      <c r="D43" t="s">
        <v>1636</v>
      </c>
      <c r="E43" s="30" t="s">
        <v>19</v>
      </c>
      <c r="F43" s="30" t="s">
        <v>28</v>
      </c>
      <c r="G43" s="30"/>
      <c r="H43" s="85" t="s">
        <v>1640</v>
      </c>
      <c r="I43" s="31">
        <f t="shared" si="4"/>
        <v>28</v>
      </c>
      <c r="J43" s="87" t="s">
        <v>2186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1455</v>
      </c>
      <c r="B44" s="30" t="s">
        <v>1643</v>
      </c>
      <c r="C44" t="s">
        <v>1061</v>
      </c>
      <c r="D44" t="s">
        <v>1644</v>
      </c>
      <c r="E44" s="30" t="s">
        <v>19</v>
      </c>
      <c r="F44" s="30" t="s">
        <v>28</v>
      </c>
      <c r="G44" s="30"/>
      <c r="H44" s="85" t="s">
        <v>1645</v>
      </c>
      <c r="I44" s="31">
        <f t="shared" si="4"/>
        <v>26</v>
      </c>
      <c r="J44" s="87" t="s">
        <v>2187</v>
      </c>
      <c r="K44" s="31">
        <f t="shared" si="5"/>
        <v>2</v>
      </c>
      <c r="L44" s="32">
        <f t="shared" si="6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2283</v>
      </c>
      <c r="W44" s="70" t="s">
        <v>2283</v>
      </c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1455</v>
      </c>
      <c r="B45" s="30" t="s">
        <v>2240</v>
      </c>
      <c r="C45" t="s">
        <v>1061</v>
      </c>
      <c r="D45" t="s">
        <v>2245</v>
      </c>
      <c r="E45" s="30" t="s">
        <v>73</v>
      </c>
      <c r="F45" s="30" t="s">
        <v>28</v>
      </c>
      <c r="G45" s="30"/>
      <c r="H45" s="85" t="s">
        <v>2241</v>
      </c>
      <c r="I45" s="31">
        <f t="shared" si="4"/>
        <v>27</v>
      </c>
      <c r="J45" s="151" t="s">
        <v>2242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2283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1455</v>
      </c>
      <c r="B46" s="30" t="s">
        <v>2243</v>
      </c>
      <c r="C46" t="s">
        <v>1061</v>
      </c>
      <c r="D46" t="s">
        <v>2244</v>
      </c>
      <c r="E46" s="30" t="s">
        <v>73</v>
      </c>
      <c r="F46" s="30" t="s">
        <v>28</v>
      </c>
      <c r="G46" s="30"/>
      <c r="H46" s="85" t="s">
        <v>2246</v>
      </c>
      <c r="I46" s="31">
        <f t="shared" si="4"/>
        <v>27</v>
      </c>
      <c r="J46" s="151" t="s">
        <v>2247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2283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1689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2283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1695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1697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1698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27</v>
      </c>
      <c r="J61" s="146" t="s">
        <v>1700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2283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1702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1703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1704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1705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2323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1374</v>
      </c>
      <c r="I68" s="141">
        <f t="shared" si="4"/>
        <v>28</v>
      </c>
      <c r="J68" s="146" t="s">
        <v>1706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1439</v>
      </c>
      <c r="I70" s="31">
        <f t="shared" si="4"/>
        <v>28</v>
      </c>
      <c r="J70" s="146" t="s">
        <v>1708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1710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1477</v>
      </c>
      <c r="I73" s="31">
        <f t="shared" si="4"/>
        <v>28</v>
      </c>
      <c r="J73" s="146" t="s">
        <v>1711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1712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27</v>
      </c>
      <c r="J75" s="146" t="s">
        <v>1713</v>
      </c>
      <c r="K75" s="31">
        <f t="shared" si="5"/>
        <v>1</v>
      </c>
      <c r="L75" s="32">
        <f t="shared" si="6"/>
        <v>0.9642857142857143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2283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1720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1721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1722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1723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1724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1725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1060</v>
      </c>
      <c r="D88" s="73" t="s">
        <v>1518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1726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1727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2283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18</v>
      </c>
      <c r="J90" s="146" t="s">
        <v>1728</v>
      </c>
      <c r="K90" s="31">
        <f t="shared" si="8"/>
        <v>10</v>
      </c>
      <c r="L90" s="32">
        <f t="shared" si="9"/>
        <v>0.6428571428571429</v>
      </c>
      <c r="M90" s="70" t="s">
        <v>2283</v>
      </c>
      <c r="N90" s="70" t="s">
        <v>2283</v>
      </c>
      <c r="O90" s="70" t="s">
        <v>2283</v>
      </c>
      <c r="P90" s="70" t="s">
        <v>2283</v>
      </c>
      <c r="Q90" s="70" t="s">
        <v>2283</v>
      </c>
      <c r="R90" s="70" t="s">
        <v>2283</v>
      </c>
      <c r="S90" s="70"/>
      <c r="T90" s="70"/>
      <c r="U90" s="70" t="s">
        <v>2283</v>
      </c>
      <c r="V90" s="70" t="s">
        <v>2283</v>
      </c>
      <c r="W90" s="70" t="s">
        <v>2283</v>
      </c>
      <c r="X90" s="70" t="s">
        <v>2283</v>
      </c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1478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1729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1479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1730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1731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1422</v>
      </c>
      <c r="I94" s="141">
        <f t="shared" si="7"/>
        <v>28</v>
      </c>
      <c r="J94" s="146" t="s">
        <v>1732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1459</v>
      </c>
      <c r="I95" s="31">
        <f t="shared" si="7"/>
        <v>28</v>
      </c>
      <c r="J95" s="149" t="s">
        <v>1733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1359</v>
      </c>
      <c r="I96" s="141">
        <f t="shared" si="7"/>
        <v>27</v>
      </c>
      <c r="J96" s="146" t="s">
        <v>1734</v>
      </c>
      <c r="K96" s="141">
        <f t="shared" si="8"/>
        <v>1</v>
      </c>
      <c r="L96" s="142">
        <f t="shared" si="9"/>
        <v>0.9642857142857143</v>
      </c>
      <c r="M96" s="70" t="s">
        <v>2283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1735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1430</v>
      </c>
      <c r="I98" s="141">
        <f t="shared" si="7"/>
        <v>28</v>
      </c>
      <c r="J98" s="146" t="s">
        <v>1736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1366</v>
      </c>
      <c r="I99" s="141">
        <f t="shared" si="7"/>
        <v>25</v>
      </c>
      <c r="J99" s="146" t="s">
        <v>1737</v>
      </c>
      <c r="K99" s="141">
        <f t="shared" si="8"/>
        <v>3</v>
      </c>
      <c r="L99" s="142">
        <f t="shared" si="9"/>
        <v>0.8928571428571429</v>
      </c>
      <c r="M99" s="70" t="s">
        <v>2283</v>
      </c>
      <c r="N99" s="70" t="s">
        <v>2283</v>
      </c>
      <c r="O99" s="70" t="s">
        <v>2283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1354</v>
      </c>
      <c r="I100" s="141">
        <f t="shared" si="7"/>
        <v>25</v>
      </c>
      <c r="J100" s="146" t="s">
        <v>1738</v>
      </c>
      <c r="K100" s="141">
        <f t="shared" si="8"/>
        <v>3</v>
      </c>
      <c r="L100" s="142">
        <f t="shared" si="9"/>
        <v>0.8928571428571429</v>
      </c>
      <c r="M100" s="70" t="s">
        <v>2283</v>
      </c>
      <c r="N100" s="70" t="s">
        <v>2283</v>
      </c>
      <c r="O100" s="70" t="s">
        <v>2283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1407</v>
      </c>
      <c r="I101" s="141">
        <f t="shared" si="7"/>
        <v>28</v>
      </c>
      <c r="J101" s="146" t="s">
        <v>1739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1423</v>
      </c>
      <c r="I102" s="141">
        <f t="shared" si="7"/>
        <v>28</v>
      </c>
      <c r="J102" s="146" t="s">
        <v>1740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1362</v>
      </c>
      <c r="I103" s="141">
        <f t="shared" si="7"/>
        <v>28</v>
      </c>
      <c r="J103" s="146" t="s">
        <v>1741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1742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1373</v>
      </c>
      <c r="I105" s="141">
        <f t="shared" si="7"/>
        <v>28</v>
      </c>
      <c r="J105" s="146" t="s">
        <v>1743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1363</v>
      </c>
      <c r="I107" s="141">
        <f t="shared" si="7"/>
        <v>28</v>
      </c>
      <c r="J107" s="146" t="s">
        <v>1745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1746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1747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1748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1749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1749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1751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1750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1752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1753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1754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1755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24</v>
      </c>
      <c r="J121" s="146" t="s">
        <v>1758</v>
      </c>
      <c r="K121" s="141">
        <f t="shared" si="8"/>
        <v>4</v>
      </c>
      <c r="L121" s="142">
        <f t="shared" si="9"/>
        <v>0.8571428571428571</v>
      </c>
      <c r="M121" s="70"/>
      <c r="N121" s="70"/>
      <c r="O121" s="70"/>
      <c r="P121" s="70" t="s">
        <v>2283</v>
      </c>
      <c r="Q121" s="70" t="s">
        <v>2283</v>
      </c>
      <c r="R121" s="70"/>
      <c r="S121" s="70"/>
      <c r="T121" s="70"/>
      <c r="U121" s="70"/>
      <c r="V121" s="70" t="s">
        <v>2283</v>
      </c>
      <c r="W121" s="70" t="s">
        <v>2283</v>
      </c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1493</v>
      </c>
      <c r="I122" s="31">
        <f t="shared" si="7"/>
        <v>28</v>
      </c>
      <c r="J122" s="146" t="s">
        <v>1759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1760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1761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1762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1763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27</v>
      </c>
      <c r="J127" s="146" t="s">
        <v>1764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2283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1765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1766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1767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20</v>
      </c>
      <c r="J131" s="146" t="s">
        <v>1768</v>
      </c>
      <c r="K131" s="31">
        <f t="shared" si="8"/>
        <v>8</v>
      </c>
      <c r="L131" s="32">
        <f t="shared" si="9"/>
        <v>0.7142857142857143</v>
      </c>
      <c r="M131" s="70" t="s">
        <v>2283</v>
      </c>
      <c r="N131" s="70" t="s">
        <v>2283</v>
      </c>
      <c r="O131" s="70" t="s">
        <v>2283</v>
      </c>
      <c r="P131" s="70" t="s">
        <v>2283</v>
      </c>
      <c r="Q131" s="70"/>
      <c r="R131" s="70"/>
      <c r="S131" s="70"/>
      <c r="T131" s="70"/>
      <c r="U131" s="70" t="s">
        <v>2283</v>
      </c>
      <c r="V131" s="70" t="s">
        <v>2283</v>
      </c>
      <c r="W131" s="70" t="s">
        <v>2283</v>
      </c>
      <c r="X131" s="70" t="s">
        <v>2283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1769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1770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1414</v>
      </c>
      <c r="C134" s="85" t="s">
        <v>1060</v>
      </c>
      <c r="D134" s="73" t="s">
        <v>1528</v>
      </c>
      <c r="E134" s="85" t="s">
        <v>19</v>
      </c>
      <c r="F134" s="85" t="s">
        <v>1299</v>
      </c>
      <c r="G134" s="85"/>
      <c r="H134" s="85" t="s">
        <v>1415</v>
      </c>
      <c r="I134" s="141">
        <f t="shared" si="7"/>
        <v>28</v>
      </c>
      <c r="J134" s="146" t="s">
        <v>1771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1505</v>
      </c>
      <c r="C135" s="85" t="s">
        <v>1060</v>
      </c>
      <c r="D135" s="73" t="s">
        <v>1506</v>
      </c>
      <c r="E135" s="85" t="s">
        <v>19</v>
      </c>
      <c r="F135" s="85" t="s">
        <v>1299</v>
      </c>
      <c r="G135" s="85"/>
      <c r="H135" s="85" t="s">
        <v>1510</v>
      </c>
      <c r="I135" s="141">
        <f t="shared" si="7"/>
        <v>28</v>
      </c>
      <c r="J135" s="146" t="s">
        <v>1772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1484</v>
      </c>
      <c r="C136" s="30" t="s">
        <v>1060</v>
      </c>
      <c r="D136" t="s">
        <v>1483</v>
      </c>
      <c r="E136" s="85" t="s">
        <v>73</v>
      </c>
      <c r="F136" s="85" t="s">
        <v>28</v>
      </c>
      <c r="G136" s="85"/>
      <c r="H136" s="85" t="s">
        <v>1485</v>
      </c>
      <c r="I136" s="141">
        <f t="shared" si="7"/>
        <v>28</v>
      </c>
      <c r="J136" s="146" t="s">
        <v>1773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1487</v>
      </c>
      <c r="C137" s="30" t="s">
        <v>1060</v>
      </c>
      <c r="D137" t="s">
        <v>1486</v>
      </c>
      <c r="E137" s="85" t="s">
        <v>19</v>
      </c>
      <c r="F137" s="85" t="s">
        <v>28</v>
      </c>
      <c r="G137" s="85"/>
      <c r="H137" s="85" t="s">
        <v>1488</v>
      </c>
      <c r="I137" s="141">
        <f t="shared" si="7"/>
        <v>28</v>
      </c>
      <c r="J137" s="146" t="s">
        <v>1774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1519</v>
      </c>
      <c r="C138" s="85" t="s">
        <v>1060</v>
      </c>
      <c r="D138" s="73" t="s">
        <v>1520</v>
      </c>
      <c r="E138" s="85" t="s">
        <v>19</v>
      </c>
      <c r="F138" s="85" t="s">
        <v>1299</v>
      </c>
      <c r="G138" s="85"/>
      <c r="H138" s="85" t="s">
        <v>1521</v>
      </c>
      <c r="I138" s="141">
        <f t="shared" si="7"/>
        <v>28</v>
      </c>
      <c r="J138" s="146" t="s">
        <v>1775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1522</v>
      </c>
      <c r="C139" s="30" t="s">
        <v>1060</v>
      </c>
      <c r="D139" t="s">
        <v>1523</v>
      </c>
      <c r="E139" s="85" t="s">
        <v>19</v>
      </c>
      <c r="F139" s="85" t="s">
        <v>28</v>
      </c>
      <c r="G139" s="85"/>
      <c r="H139" s="85" t="s">
        <v>1524</v>
      </c>
      <c r="I139" s="141">
        <f t="shared" si="7"/>
        <v>28</v>
      </c>
      <c r="J139" s="146" t="s">
        <v>1776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1647</v>
      </c>
      <c r="C140" s="30" t="s">
        <v>1060</v>
      </c>
      <c r="D140" t="s">
        <v>1648</v>
      </c>
      <c r="E140" s="85" t="s">
        <v>19</v>
      </c>
      <c r="F140" s="85" t="s">
        <v>28</v>
      </c>
      <c r="G140" s="85"/>
      <c r="H140" s="85" t="s">
        <v>2120</v>
      </c>
      <c r="I140" s="141">
        <f t="shared" si="7"/>
        <v>28</v>
      </c>
      <c r="J140" s="87" t="s">
        <v>2188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1562</v>
      </c>
      <c r="C141" s="85" t="s">
        <v>1060</v>
      </c>
      <c r="D141" s="73" t="s">
        <v>1564</v>
      </c>
      <c r="E141" s="85" t="s">
        <v>19</v>
      </c>
      <c r="F141" s="85" t="s">
        <v>1299</v>
      </c>
      <c r="G141" s="85"/>
      <c r="H141" s="85" t="s">
        <v>1566</v>
      </c>
      <c r="I141" s="141">
        <f t="shared" si="7"/>
        <v>28</v>
      </c>
      <c r="J141" s="146" t="s">
        <v>1777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1563</v>
      </c>
      <c r="C142" s="85" t="s">
        <v>1060</v>
      </c>
      <c r="D142" s="73" t="s">
        <v>1565</v>
      </c>
      <c r="E142" s="85" t="s">
        <v>19</v>
      </c>
      <c r="F142" s="85" t="s">
        <v>1299</v>
      </c>
      <c r="G142" s="85"/>
      <c r="H142" s="85" t="s">
        <v>1567</v>
      </c>
      <c r="I142" s="141">
        <f t="shared" si="7"/>
        <v>28</v>
      </c>
      <c r="J142" s="146" t="s">
        <v>1778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2127</v>
      </c>
      <c r="C143" s="85" t="s">
        <v>1060</v>
      </c>
      <c r="D143" s="73" t="s">
        <v>2128</v>
      </c>
      <c r="E143" s="85" t="s">
        <v>19</v>
      </c>
      <c r="F143" s="85" t="s">
        <v>1299</v>
      </c>
      <c r="G143" s="85"/>
      <c r="H143" s="85" t="s">
        <v>2189</v>
      </c>
      <c r="I143" s="141">
        <f t="shared" si="7"/>
        <v>28</v>
      </c>
      <c r="J143" s="146" t="s">
        <v>2190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2217</v>
      </c>
      <c r="C144" s="85" t="s">
        <v>1060</v>
      </c>
      <c r="D144" s="73" t="s">
        <v>2218</v>
      </c>
      <c r="E144" s="85" t="s">
        <v>19</v>
      </c>
      <c r="F144" s="85" t="s">
        <v>1299</v>
      </c>
      <c r="G144" s="85"/>
      <c r="H144" s="85" t="s">
        <v>2219</v>
      </c>
      <c r="I144" s="141">
        <f t="shared" si="7"/>
        <v>28</v>
      </c>
      <c r="J144" s="146" t="s">
        <v>2220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2255</v>
      </c>
      <c r="C145" s="85" t="s">
        <v>1060</v>
      </c>
      <c r="D145" s="73" t="s">
        <v>2256</v>
      </c>
      <c r="E145" s="85" t="s">
        <v>19</v>
      </c>
      <c r="F145" s="30" t="s">
        <v>28</v>
      </c>
      <c r="G145" s="85"/>
      <c r="H145" s="85" t="s">
        <v>2257</v>
      </c>
      <c r="I145" s="141">
        <f t="shared" si="7"/>
        <v>28</v>
      </c>
      <c r="J145" s="146" t="s">
        <v>2258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2316</v>
      </c>
      <c r="C146" s="85" t="s">
        <v>1060</v>
      </c>
      <c r="D146" s="73" t="s">
        <v>2317</v>
      </c>
      <c r="E146" s="85" t="s">
        <v>19</v>
      </c>
      <c r="F146" s="30" t="s">
        <v>28</v>
      </c>
      <c r="G146" s="85"/>
      <c r="H146" s="85" t="s">
        <v>2318</v>
      </c>
      <c r="I146" s="141">
        <f t="shared" si="7"/>
        <v>28</v>
      </c>
      <c r="J146" s="146" t="s">
        <v>2319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1405</v>
      </c>
      <c r="I147" s="31">
        <f t="shared" si="7"/>
        <v>28</v>
      </c>
      <c r="J147" s="146" t="s">
        <v>1779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1780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1781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2206</v>
      </c>
      <c r="I151" s="31">
        <f t="shared" si="7"/>
        <v>28</v>
      </c>
      <c r="J151" s="146" t="s">
        <v>1782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23</v>
      </c>
      <c r="J152" s="146" t="s">
        <v>1783</v>
      </c>
      <c r="K152" s="31">
        <f t="shared" si="8"/>
        <v>5</v>
      </c>
      <c r="L152" s="32">
        <f t="shared" si="9"/>
        <v>0.8214285714285714</v>
      </c>
      <c r="M152" s="70"/>
      <c r="N152" s="70" t="s">
        <v>2283</v>
      </c>
      <c r="O152" s="70"/>
      <c r="P152" s="70"/>
      <c r="Q152" s="70"/>
      <c r="R152" s="70"/>
      <c r="S152" s="70"/>
      <c r="T152" s="70"/>
      <c r="U152" s="70" t="s">
        <v>2283</v>
      </c>
      <c r="V152" s="70" t="s">
        <v>2283</v>
      </c>
      <c r="W152" s="70" t="s">
        <v>2283</v>
      </c>
      <c r="X152" s="70" t="s">
        <v>2283</v>
      </c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1784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2283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1787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1788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1553</v>
      </c>
      <c r="C162" s="73" t="s">
        <v>1060</v>
      </c>
      <c r="D162" s="73" t="s">
        <v>1554</v>
      </c>
      <c r="E162" s="85" t="s">
        <v>46</v>
      </c>
      <c r="F162" s="85" t="s">
        <v>1299</v>
      </c>
      <c r="G162" s="85"/>
      <c r="H162" s="85" t="s">
        <v>1555</v>
      </c>
      <c r="I162" s="31">
        <f t="shared" si="7"/>
        <v>28</v>
      </c>
      <c r="J162" s="146" t="s">
        <v>1789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2121</v>
      </c>
      <c r="C163" s="73" t="s">
        <v>1060</v>
      </c>
      <c r="D163" s="73" t="s">
        <v>2122</v>
      </c>
      <c r="E163" s="85" t="s">
        <v>46</v>
      </c>
      <c r="F163" s="85" t="s">
        <v>1299</v>
      </c>
      <c r="G163" s="85"/>
      <c r="H163" s="85" t="s">
        <v>2125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2207</v>
      </c>
      <c r="I164" s="141">
        <f t="shared" si="7"/>
        <v>28</v>
      </c>
      <c r="J164" s="146" t="s">
        <v>1790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1494</v>
      </c>
      <c r="I165" s="141">
        <f t="shared" ref="I165:I244" si="10">COUNTIF(M165:AN165,"")</f>
        <v>28</v>
      </c>
      <c r="J165" s="146" t="s">
        <v>1791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1327</v>
      </c>
      <c r="B166" s="73" t="s">
        <v>2310</v>
      </c>
      <c r="C166" s="73" t="s">
        <v>1061</v>
      </c>
      <c r="D166" s="73" t="s">
        <v>2311</v>
      </c>
      <c r="E166" s="85" t="s">
        <v>15</v>
      </c>
      <c r="F166" s="85" t="s">
        <v>1299</v>
      </c>
      <c r="G166" s="85"/>
      <c r="H166" s="85" t="s">
        <v>2312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1792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2283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1793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2283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1794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2283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1795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2283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1545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1548</v>
      </c>
      <c r="I171" s="31">
        <f t="shared" si="10"/>
        <v>18</v>
      </c>
      <c r="J171" s="146" t="s">
        <v>1796</v>
      </c>
      <c r="K171" s="31">
        <f t="shared" si="11"/>
        <v>10</v>
      </c>
      <c r="L171" s="32">
        <f t="shared" si="12"/>
        <v>0.6428571428571429</v>
      </c>
      <c r="M171" s="70" t="s">
        <v>2283</v>
      </c>
      <c r="N171" s="70" t="s">
        <v>2283</v>
      </c>
      <c r="O171" s="70" t="s">
        <v>2283</v>
      </c>
      <c r="P171" s="70" t="s">
        <v>2283</v>
      </c>
      <c r="Q171" s="70" t="s">
        <v>2283</v>
      </c>
      <c r="R171" s="70" t="s">
        <v>2283</v>
      </c>
      <c r="S171" s="70"/>
      <c r="T171" s="70"/>
      <c r="U171" s="70" t="s">
        <v>2283</v>
      </c>
      <c r="V171" s="70" t="s">
        <v>2283</v>
      </c>
      <c r="W171" s="70" t="s">
        <v>2283</v>
      </c>
      <c r="X171" s="70" t="s">
        <v>2283</v>
      </c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1546</v>
      </c>
      <c r="C172" t="s">
        <v>1061</v>
      </c>
      <c r="D172" t="s">
        <v>1547</v>
      </c>
      <c r="E172" s="30" t="s">
        <v>15</v>
      </c>
      <c r="F172" s="30" t="s">
        <v>28</v>
      </c>
      <c r="G172" s="30"/>
      <c r="H172" s="30" t="s">
        <v>1549</v>
      </c>
      <c r="I172" s="31">
        <f t="shared" si="10"/>
        <v>19</v>
      </c>
      <c r="J172" s="146" t="s">
        <v>1797</v>
      </c>
      <c r="K172" s="31">
        <f t="shared" si="11"/>
        <v>9</v>
      </c>
      <c r="L172" s="32">
        <f t="shared" si="12"/>
        <v>0.6785714285714286</v>
      </c>
      <c r="M172" s="70" t="s">
        <v>2283</v>
      </c>
      <c r="N172" s="70" t="s">
        <v>2283</v>
      </c>
      <c r="O172" s="70" t="s">
        <v>2283</v>
      </c>
      <c r="P172" s="70" t="s">
        <v>2283</v>
      </c>
      <c r="Q172" s="70" t="s">
        <v>2283</v>
      </c>
      <c r="R172" s="70" t="s">
        <v>2283</v>
      </c>
      <c r="S172" s="70"/>
      <c r="T172" s="70"/>
      <c r="U172" s="70" t="s">
        <v>2283</v>
      </c>
      <c r="V172" s="70" t="s">
        <v>2283</v>
      </c>
      <c r="W172" s="70" t="s">
        <v>2283</v>
      </c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1441</v>
      </c>
      <c r="I173" s="31">
        <f t="shared" si="10"/>
        <v>28</v>
      </c>
      <c r="J173" s="146" t="s">
        <v>1798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1799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2283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1800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1801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1802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1427</v>
      </c>
      <c r="I178" s="141">
        <f t="shared" si="10"/>
        <v>27</v>
      </c>
      <c r="J178" s="146" t="s">
        <v>1803</v>
      </c>
      <c r="K178" s="141">
        <f t="shared" si="11"/>
        <v>1</v>
      </c>
      <c r="L178" s="142">
        <f t="shared" si="12"/>
        <v>0.9642857142857143</v>
      </c>
      <c r="M178" s="70" t="s">
        <v>2283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1804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1805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1806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1807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1808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1809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1810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24</v>
      </c>
      <c r="J187" s="146" t="s">
        <v>1811</v>
      </c>
      <c r="K187" s="31">
        <f t="shared" si="11"/>
        <v>4</v>
      </c>
      <c r="L187" s="32">
        <f t="shared" si="12"/>
        <v>0.8571428571428571</v>
      </c>
      <c r="M187" s="70"/>
      <c r="N187" s="70"/>
      <c r="O187" s="70"/>
      <c r="P187" s="70"/>
      <c r="Q187" s="70"/>
      <c r="R187" s="70"/>
      <c r="S187" s="70"/>
      <c r="T187" s="70"/>
      <c r="U187" s="70" t="s">
        <v>2283</v>
      </c>
      <c r="V187" s="70" t="s">
        <v>2283</v>
      </c>
      <c r="W187" s="70" t="s">
        <v>2283</v>
      </c>
      <c r="X187" s="70" t="s">
        <v>2283</v>
      </c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24</v>
      </c>
      <c r="J188" s="146" t="s">
        <v>1812</v>
      </c>
      <c r="K188" s="31">
        <f t="shared" si="11"/>
        <v>4</v>
      </c>
      <c r="L188" s="32">
        <f t="shared" si="12"/>
        <v>0.8571428571428571</v>
      </c>
      <c r="M188" s="70"/>
      <c r="N188" s="70"/>
      <c r="O188" s="70"/>
      <c r="P188" s="70"/>
      <c r="Q188" s="70"/>
      <c r="R188" s="70"/>
      <c r="S188" s="70"/>
      <c r="T188" s="70"/>
      <c r="U188" s="70" t="s">
        <v>2283</v>
      </c>
      <c r="V188" s="70" t="s">
        <v>2283</v>
      </c>
      <c r="W188" s="70" t="s">
        <v>2283</v>
      </c>
      <c r="X188" s="70" t="s">
        <v>2283</v>
      </c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1511</v>
      </c>
      <c r="C189" s="30" t="s">
        <v>1061</v>
      </c>
      <c r="D189" t="s">
        <v>1512</v>
      </c>
      <c r="E189" s="30" t="s">
        <v>19</v>
      </c>
      <c r="F189" s="30" t="s">
        <v>28</v>
      </c>
      <c r="G189" s="30"/>
      <c r="H189" s="30" t="s">
        <v>1513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1550</v>
      </c>
      <c r="C190" s="85" t="s">
        <v>1061</v>
      </c>
      <c r="D190" s="73" t="s">
        <v>1551</v>
      </c>
      <c r="E190" s="85" t="s">
        <v>19</v>
      </c>
      <c r="F190" s="85" t="s">
        <v>1299</v>
      </c>
      <c r="G190" s="85"/>
      <c r="H190" s="85" t="s">
        <v>1552</v>
      </c>
      <c r="I190" s="31">
        <f t="shared" si="10"/>
        <v>28</v>
      </c>
      <c r="J190" s="146" t="s">
        <v>1813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2313</v>
      </c>
      <c r="C191" s="85" t="s">
        <v>1061</v>
      </c>
      <c r="D191" s="73" t="s">
        <v>2314</v>
      </c>
      <c r="E191" s="85" t="s">
        <v>1112</v>
      </c>
      <c r="F191" s="85" t="s">
        <v>1299</v>
      </c>
      <c r="G191" s="85"/>
      <c r="H191" s="85" t="s">
        <v>2315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2165</v>
      </c>
      <c r="C192" s="85" t="s">
        <v>1061</v>
      </c>
      <c r="D192" s="73" t="s">
        <v>2166</v>
      </c>
      <c r="E192" s="85" t="s">
        <v>19</v>
      </c>
      <c r="F192" s="85" t="s">
        <v>1299</v>
      </c>
      <c r="G192" s="85"/>
      <c r="H192" s="85" t="s">
        <v>2167</v>
      </c>
      <c r="I192" s="31">
        <f t="shared" si="10"/>
        <v>28</v>
      </c>
      <c r="J192" s="146" t="s">
        <v>2168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2231</v>
      </c>
      <c r="C193" s="85" t="s">
        <v>1061</v>
      </c>
      <c r="D193" s="73" t="s">
        <v>2232</v>
      </c>
      <c r="E193" s="85" t="s">
        <v>19</v>
      </c>
      <c r="F193" s="85" t="s">
        <v>1299</v>
      </c>
      <c r="G193" s="85"/>
      <c r="H193" s="85" t="s">
        <v>2233</v>
      </c>
      <c r="I193" s="31">
        <f t="shared" si="10"/>
        <v>28</v>
      </c>
      <c r="J193" s="146" t="s">
        <v>2168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2284</v>
      </c>
      <c r="C194" s="85" t="s">
        <v>1061</v>
      </c>
      <c r="D194" s="73" t="s">
        <v>1532</v>
      </c>
      <c r="E194" s="85" t="s">
        <v>1112</v>
      </c>
      <c r="F194" s="85" t="s">
        <v>1533</v>
      </c>
      <c r="G194" s="85"/>
      <c r="H194" s="85" t="s">
        <v>1534</v>
      </c>
      <c r="I194" s="31">
        <f t="shared" si="10"/>
        <v>28</v>
      </c>
      <c r="J194" s="146" t="s">
        <v>1814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1815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2283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1816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2283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19</v>
      </c>
      <c r="J197" s="87"/>
      <c r="K197" s="137">
        <f t="shared" si="11"/>
        <v>9</v>
      </c>
      <c r="L197" s="138">
        <f t="shared" si="12"/>
        <v>0.6785714285714286</v>
      </c>
      <c r="M197" s="139" t="s">
        <v>2283</v>
      </c>
      <c r="N197" s="139" t="s">
        <v>2283</v>
      </c>
      <c r="O197" s="139" t="s">
        <v>2283</v>
      </c>
      <c r="P197" s="139" t="s">
        <v>2283</v>
      </c>
      <c r="Q197" s="139" t="s">
        <v>2283</v>
      </c>
      <c r="R197" s="139"/>
      <c r="S197" s="139"/>
      <c r="T197" s="139"/>
      <c r="U197" s="139" t="s">
        <v>2283</v>
      </c>
      <c r="V197" s="139" t="s">
        <v>2283</v>
      </c>
      <c r="W197" s="139" t="s">
        <v>2283</v>
      </c>
      <c r="X197" s="139" t="s">
        <v>2283</v>
      </c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1389</v>
      </c>
      <c r="I198" s="141">
        <f t="shared" si="10"/>
        <v>18</v>
      </c>
      <c r="J198" s="146" t="s">
        <v>1817</v>
      </c>
      <c r="K198" s="141">
        <f t="shared" si="11"/>
        <v>10</v>
      </c>
      <c r="L198" s="142">
        <f t="shared" si="12"/>
        <v>0.6428571428571429</v>
      </c>
      <c r="M198" s="70" t="s">
        <v>2283</v>
      </c>
      <c r="N198" s="70" t="s">
        <v>2283</v>
      </c>
      <c r="O198" s="70" t="s">
        <v>2283</v>
      </c>
      <c r="P198" s="70" t="s">
        <v>2283</v>
      </c>
      <c r="Q198" s="70" t="s">
        <v>2283</v>
      </c>
      <c r="R198" s="70" t="s">
        <v>2283</v>
      </c>
      <c r="S198" s="70"/>
      <c r="T198" s="70"/>
      <c r="U198" s="70" t="s">
        <v>2283</v>
      </c>
      <c r="V198" s="70" t="s">
        <v>2283</v>
      </c>
      <c r="W198" s="70" t="s">
        <v>2283</v>
      </c>
      <c r="X198" s="70" t="s">
        <v>2283</v>
      </c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1424</v>
      </c>
      <c r="I199" s="141">
        <f t="shared" si="10"/>
        <v>28</v>
      </c>
      <c r="J199" s="146" t="s">
        <v>1818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1406</v>
      </c>
      <c r="I200" s="31">
        <f t="shared" si="10"/>
        <v>28</v>
      </c>
      <c r="J200" s="146" t="s">
        <v>1819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1432</v>
      </c>
      <c r="I201" s="31">
        <f t="shared" si="10"/>
        <v>18</v>
      </c>
      <c r="J201" s="146" t="s">
        <v>1820</v>
      </c>
      <c r="K201" s="31">
        <f t="shared" si="11"/>
        <v>10</v>
      </c>
      <c r="L201" s="32">
        <f t="shared" si="12"/>
        <v>0.6428571428571429</v>
      </c>
      <c r="M201" s="70" t="s">
        <v>2283</v>
      </c>
      <c r="N201" s="70" t="s">
        <v>2283</v>
      </c>
      <c r="O201" s="70" t="s">
        <v>2283</v>
      </c>
      <c r="P201" s="70" t="s">
        <v>2283</v>
      </c>
      <c r="Q201" s="70" t="s">
        <v>2283</v>
      </c>
      <c r="R201" s="70" t="s">
        <v>2283</v>
      </c>
      <c r="S201" s="70"/>
      <c r="T201" s="70"/>
      <c r="U201" s="70" t="s">
        <v>2283</v>
      </c>
      <c r="V201" s="70" t="s">
        <v>2283</v>
      </c>
      <c r="W201" s="70" t="s">
        <v>2283</v>
      </c>
      <c r="X201" s="70" t="s">
        <v>2283</v>
      </c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1433</v>
      </c>
      <c r="I202" s="31">
        <f t="shared" si="10"/>
        <v>26</v>
      </c>
      <c r="J202" s="146" t="s">
        <v>1821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2283</v>
      </c>
      <c r="P202" s="70"/>
      <c r="Q202" s="70"/>
      <c r="R202" s="70" t="s">
        <v>2283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2283</v>
      </c>
      <c r="N203" s="70" t="s">
        <v>2283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1589</v>
      </c>
      <c r="I204" s="141">
        <f t="shared" si="10"/>
        <v>27</v>
      </c>
      <c r="J204" s="146" t="s">
        <v>1822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2283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1404</v>
      </c>
      <c r="I205" s="31">
        <f t="shared" si="10"/>
        <v>18</v>
      </c>
      <c r="J205" s="146" t="s">
        <v>1823</v>
      </c>
      <c r="K205" s="31">
        <f t="shared" si="11"/>
        <v>10</v>
      </c>
      <c r="L205" s="32">
        <f t="shared" si="12"/>
        <v>0.6428571428571429</v>
      </c>
      <c r="M205" s="70" t="s">
        <v>2283</v>
      </c>
      <c r="N205" s="70" t="s">
        <v>2283</v>
      </c>
      <c r="O205" s="70" t="s">
        <v>2283</v>
      </c>
      <c r="P205" s="70" t="s">
        <v>2283</v>
      </c>
      <c r="Q205" s="70" t="s">
        <v>2283</v>
      </c>
      <c r="R205" s="70" t="s">
        <v>2283</v>
      </c>
      <c r="S205" s="70"/>
      <c r="T205" s="70"/>
      <c r="U205" s="70" t="s">
        <v>2283</v>
      </c>
      <c r="V205" s="70" t="s">
        <v>2283</v>
      </c>
      <c r="W205" s="70" t="s">
        <v>2283</v>
      </c>
      <c r="X205" s="70" t="s">
        <v>2283</v>
      </c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1824</v>
      </c>
      <c r="K206" s="31">
        <f t="shared" si="11"/>
        <v>1</v>
      </c>
      <c r="L206" s="32">
        <f t="shared" si="12"/>
        <v>0.9642857142857143</v>
      </c>
      <c r="M206" s="70" t="s">
        <v>2283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1403</v>
      </c>
      <c r="I207" s="141">
        <f t="shared" si="10"/>
        <v>28</v>
      </c>
      <c r="J207" s="146" t="s">
        <v>1825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28</v>
      </c>
      <c r="J208" s="146" t="s">
        <v>1826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1827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2283</v>
      </c>
      <c r="Q209" s="70" t="s">
        <v>2283</v>
      </c>
      <c r="R209" s="70" t="s">
        <v>2283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1828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2283</v>
      </c>
      <c r="Q210" s="70" t="s">
        <v>2283</v>
      </c>
      <c r="R210" s="70" t="s">
        <v>2283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1829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1830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1831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2283</v>
      </c>
      <c r="Q213" s="70" t="s">
        <v>2283</v>
      </c>
      <c r="R213" s="70" t="s">
        <v>2283</v>
      </c>
      <c r="S213" s="70"/>
      <c r="T213" s="70"/>
      <c r="U213" s="70" t="s">
        <v>2283</v>
      </c>
      <c r="V213" s="70"/>
      <c r="W213" s="70"/>
      <c r="X213" s="70" t="s">
        <v>2283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1688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2283</v>
      </c>
      <c r="Q214" s="70" t="s">
        <v>2283</v>
      </c>
      <c r="R214" s="70" t="s">
        <v>2283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1832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2283</v>
      </c>
      <c r="V215" s="70" t="s">
        <v>2283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1586</v>
      </c>
      <c r="C216" s="73" t="s">
        <v>1060</v>
      </c>
      <c r="D216" s="73" t="s">
        <v>1587</v>
      </c>
      <c r="E216" s="85" t="s">
        <v>73</v>
      </c>
      <c r="F216" s="85" t="s">
        <v>1299</v>
      </c>
      <c r="H216" s="85" t="s">
        <v>1588</v>
      </c>
      <c r="I216" s="141">
        <f t="shared" si="10"/>
        <v>28</v>
      </c>
      <c r="J216" s="146" t="s">
        <v>1833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2202</v>
      </c>
      <c r="C217" s="73" t="s">
        <v>1060</v>
      </c>
      <c r="D217" s="73" t="s">
        <v>2203</v>
      </c>
      <c r="E217" s="85" t="s">
        <v>73</v>
      </c>
      <c r="F217" s="85" t="s">
        <v>1299</v>
      </c>
      <c r="H217" s="85" t="s">
        <v>2204</v>
      </c>
      <c r="I217" s="141">
        <f t="shared" si="10"/>
        <v>28</v>
      </c>
      <c r="J217" s="146" t="s">
        <v>2205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1834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2285</v>
      </c>
      <c r="I219" s="141">
        <f t="shared" si="10"/>
        <v>28</v>
      </c>
      <c r="J219" s="146" t="s">
        <v>1835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1836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1515</v>
      </c>
      <c r="C221" t="s">
        <v>1060</v>
      </c>
      <c r="D221" t="s">
        <v>1516</v>
      </c>
      <c r="E221" s="30" t="s">
        <v>15</v>
      </c>
      <c r="F221" s="30" t="s">
        <v>28</v>
      </c>
      <c r="G221" s="30"/>
      <c r="H221" s="30" t="s">
        <v>1517</v>
      </c>
      <c r="I221" s="141">
        <f t="shared" si="10"/>
        <v>28</v>
      </c>
      <c r="J221" s="146" t="s">
        <v>1837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2268</v>
      </c>
      <c r="C222" t="s">
        <v>1060</v>
      </c>
      <c r="D222" t="s">
        <v>2269</v>
      </c>
      <c r="E222" s="30" t="s">
        <v>15</v>
      </c>
      <c r="F222" s="85" t="s">
        <v>1299</v>
      </c>
      <c r="G222" s="30"/>
      <c r="H222" s="30" t="s">
        <v>2270</v>
      </c>
      <c r="I222" s="141">
        <f t="shared" si="10"/>
        <v>28</v>
      </c>
      <c r="J222" s="150" t="s">
        <v>2271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1442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1431</v>
      </c>
      <c r="I225" s="31">
        <f t="shared" si="10"/>
        <v>28</v>
      </c>
      <c r="J225" s="146" t="s">
        <v>1838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1413</v>
      </c>
      <c r="I226" s="141">
        <f t="shared" si="10"/>
        <v>28</v>
      </c>
      <c r="J226" s="146" t="s">
        <v>1839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1840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1841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1842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1416</v>
      </c>
      <c r="C230" s="73" t="s">
        <v>1060</v>
      </c>
      <c r="D230" s="73" t="s">
        <v>1417</v>
      </c>
      <c r="E230" s="85" t="s">
        <v>15</v>
      </c>
      <c r="F230" s="85" t="s">
        <v>1299</v>
      </c>
      <c r="G230" s="85"/>
      <c r="H230" s="85" t="s">
        <v>1418</v>
      </c>
      <c r="I230" s="141">
        <f t="shared" si="10"/>
        <v>28</v>
      </c>
      <c r="J230" s="146" t="s">
        <v>1843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1590</v>
      </c>
      <c r="C231" s="73" t="s">
        <v>1060</v>
      </c>
      <c r="D231" s="73" t="s">
        <v>1591</v>
      </c>
      <c r="E231" s="85" t="s">
        <v>15</v>
      </c>
      <c r="F231" s="85" t="s">
        <v>1299</v>
      </c>
      <c r="G231" s="85"/>
      <c r="H231" s="85" t="s">
        <v>1592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2286</v>
      </c>
      <c r="C232" s="73" t="s">
        <v>1060</v>
      </c>
      <c r="D232" s="73" t="s">
        <v>2287</v>
      </c>
      <c r="E232" s="85" t="s">
        <v>15</v>
      </c>
      <c r="F232" s="85" t="s">
        <v>1299</v>
      </c>
      <c r="G232" s="85"/>
      <c r="H232" s="85" t="s">
        <v>2288</v>
      </c>
      <c r="I232" s="141">
        <f t="shared" si="10"/>
        <v>28</v>
      </c>
      <c r="J232" s="151" t="s">
        <v>2289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1844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1845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1846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2278</v>
      </c>
      <c r="C236" s="73" t="s">
        <v>1061</v>
      </c>
      <c r="D236" s="73" t="s">
        <v>2279</v>
      </c>
      <c r="E236" s="85" t="s">
        <v>15</v>
      </c>
      <c r="F236" s="85" t="s">
        <v>1299</v>
      </c>
      <c r="G236" s="85"/>
      <c r="H236" s="85" t="s">
        <v>2280</v>
      </c>
      <c r="I236" s="141">
        <f t="shared" si="10"/>
        <v>28</v>
      </c>
      <c r="J236" s="146" t="s">
        <v>2281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19</v>
      </c>
      <c r="J237" s="146" t="s">
        <v>1847</v>
      </c>
      <c r="K237" s="31">
        <f t="shared" si="11"/>
        <v>9</v>
      </c>
      <c r="L237" s="32">
        <f t="shared" si="12"/>
        <v>0.6785714285714286</v>
      </c>
      <c r="M237" s="70" t="s">
        <v>2283</v>
      </c>
      <c r="N237" s="70" t="s">
        <v>2283</v>
      </c>
      <c r="O237" s="70"/>
      <c r="P237" s="70" t="s">
        <v>2283</v>
      </c>
      <c r="Q237" s="70" t="s">
        <v>2283</v>
      </c>
      <c r="R237" s="70" t="s">
        <v>2283</v>
      </c>
      <c r="S237" s="70"/>
      <c r="T237" s="70"/>
      <c r="U237" s="70" t="s">
        <v>2283</v>
      </c>
      <c r="V237" s="70" t="s">
        <v>2283</v>
      </c>
      <c r="W237" s="70" t="s">
        <v>2283</v>
      </c>
      <c r="X237" s="70" t="s">
        <v>2283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1848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1480</v>
      </c>
      <c r="I239" s="31">
        <f t="shared" si="10"/>
        <v>21</v>
      </c>
      <c r="J239" s="146" t="s">
        <v>1849</v>
      </c>
      <c r="K239" s="31">
        <f t="shared" si="11"/>
        <v>7</v>
      </c>
      <c r="L239" s="32">
        <f t="shared" si="12"/>
        <v>0.75</v>
      </c>
      <c r="M239" s="70" t="s">
        <v>2283</v>
      </c>
      <c r="N239" s="70" t="s">
        <v>2283</v>
      </c>
      <c r="O239" s="70" t="s">
        <v>2283</v>
      </c>
      <c r="P239" s="70" t="s">
        <v>2283</v>
      </c>
      <c r="Q239" s="70" t="s">
        <v>2283</v>
      </c>
      <c r="R239" s="70" t="s">
        <v>2283</v>
      </c>
      <c r="S239" s="70"/>
      <c r="T239" s="70"/>
      <c r="U239" s="70"/>
      <c r="V239" s="70" t="s">
        <v>2283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1850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1851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1852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1853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1854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1855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1856</v>
      </c>
      <c r="K246" s="31">
        <f t="shared" si="14"/>
        <v>1</v>
      </c>
      <c r="L246" s="32">
        <f t="shared" si="15"/>
        <v>0.9642857142857143</v>
      </c>
      <c r="M246" s="70"/>
      <c r="N246" s="70" t="s">
        <v>2283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1857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1440</v>
      </c>
      <c r="I248" s="31">
        <f t="shared" si="13"/>
        <v>28</v>
      </c>
      <c r="J248" s="146" t="s">
        <v>1858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1859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28</v>
      </c>
      <c r="J250" s="146" t="s">
        <v>1860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19</v>
      </c>
      <c r="J251" s="146" t="s">
        <v>1861</v>
      </c>
      <c r="K251" s="31">
        <f t="shared" si="14"/>
        <v>9</v>
      </c>
      <c r="L251" s="32">
        <f t="shared" si="15"/>
        <v>0.6785714285714286</v>
      </c>
      <c r="M251" s="70" t="s">
        <v>2283</v>
      </c>
      <c r="N251" s="70" t="s">
        <v>2283</v>
      </c>
      <c r="O251" s="70" t="s">
        <v>2283</v>
      </c>
      <c r="P251" s="70" t="s">
        <v>2283</v>
      </c>
      <c r="Q251" s="70" t="s">
        <v>2283</v>
      </c>
      <c r="R251" s="70" t="s">
        <v>2283</v>
      </c>
      <c r="S251" s="70"/>
      <c r="T251" s="70"/>
      <c r="U251" s="70"/>
      <c r="V251" s="70" t="s">
        <v>2283</v>
      </c>
      <c r="W251" s="70" t="s">
        <v>2283</v>
      </c>
      <c r="X251" s="70" t="s">
        <v>2283</v>
      </c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2254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1817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s="69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18</v>
      </c>
      <c r="J254" s="146" t="s">
        <v>1862</v>
      </c>
      <c r="K254" s="31">
        <f t="shared" si="14"/>
        <v>10</v>
      </c>
      <c r="L254" s="32">
        <f t="shared" si="15"/>
        <v>0.6428571428571429</v>
      </c>
      <c r="M254" s="70" t="s">
        <v>2283</v>
      </c>
      <c r="N254" s="70" t="s">
        <v>2283</v>
      </c>
      <c r="O254" s="70" t="s">
        <v>2283</v>
      </c>
      <c r="P254" s="70" t="s">
        <v>2283</v>
      </c>
      <c r="Q254" s="70" t="s">
        <v>2283</v>
      </c>
      <c r="R254" s="70" t="s">
        <v>2283</v>
      </c>
      <c r="S254" s="70"/>
      <c r="T254" s="70"/>
      <c r="U254" s="70" t="s">
        <v>2283</v>
      </c>
      <c r="V254" s="70" t="s">
        <v>2283</v>
      </c>
      <c r="W254" s="70" t="s">
        <v>2283</v>
      </c>
      <c r="X254" s="70" t="s">
        <v>2283</v>
      </c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2296</v>
      </c>
      <c r="C255" s="69" t="s">
        <v>1061</v>
      </c>
      <c r="D255" s="69" t="s">
        <v>2297</v>
      </c>
      <c r="E255" s="30" t="s">
        <v>73</v>
      </c>
      <c r="F255" s="85" t="s">
        <v>1299</v>
      </c>
      <c r="G255" s="30"/>
      <c r="H255" s="152" t="s">
        <v>2298</v>
      </c>
      <c r="I255" s="31">
        <f t="shared" si="13"/>
        <v>18</v>
      </c>
      <c r="J255" s="146" t="s">
        <v>2299</v>
      </c>
      <c r="K255" s="31">
        <f t="shared" si="14"/>
        <v>10</v>
      </c>
      <c r="L255" s="32">
        <f t="shared" si="15"/>
        <v>0.6428571428571429</v>
      </c>
      <c r="M255" s="70" t="s">
        <v>2283</v>
      </c>
      <c r="N255" s="70" t="s">
        <v>2283</v>
      </c>
      <c r="O255" s="70" t="s">
        <v>2283</v>
      </c>
      <c r="P255" s="70" t="s">
        <v>2283</v>
      </c>
      <c r="Q255" s="70" t="s">
        <v>2283</v>
      </c>
      <c r="R255" s="70" t="s">
        <v>2283</v>
      </c>
      <c r="S255" s="70"/>
      <c r="T255" s="70"/>
      <c r="U255" s="70" t="s">
        <v>2283</v>
      </c>
      <c r="V255" s="70" t="s">
        <v>2283</v>
      </c>
      <c r="W255" s="70" t="s">
        <v>2283</v>
      </c>
      <c r="X255" s="70" t="s">
        <v>2283</v>
      </c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2300</v>
      </c>
      <c r="C256" t="s">
        <v>1061</v>
      </c>
      <c r="D256" t="s">
        <v>2297</v>
      </c>
      <c r="E256" s="30" t="s">
        <v>15</v>
      </c>
      <c r="F256" s="85" t="s">
        <v>1299</v>
      </c>
      <c r="G256" s="30"/>
      <c r="H256" s="30" t="s">
        <v>2301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2302</v>
      </c>
      <c r="C257" t="s">
        <v>1061</v>
      </c>
      <c r="D257" t="s">
        <v>2303</v>
      </c>
      <c r="E257" s="30" t="s">
        <v>15</v>
      </c>
      <c r="F257" s="85" t="s">
        <v>1299</v>
      </c>
      <c r="G257" s="30"/>
      <c r="H257" s="30" t="s">
        <v>2304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1863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1864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1375</v>
      </c>
      <c r="I261" s="141">
        <f t="shared" si="13"/>
        <v>28</v>
      </c>
      <c r="J261" s="146" t="s">
        <v>1865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1376</v>
      </c>
      <c r="I262" s="141">
        <f t="shared" si="13"/>
        <v>28</v>
      </c>
      <c r="J262" s="146" t="s">
        <v>1866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1867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1868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2283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1869</v>
      </c>
      <c r="K266" s="31">
        <f t="shared" si="14"/>
        <v>5</v>
      </c>
      <c r="L266" s="32">
        <f t="shared" si="15"/>
        <v>0.8214285714285714</v>
      </c>
      <c r="M266" s="70"/>
      <c r="N266" s="70" t="s">
        <v>2283</v>
      </c>
      <c r="O266" s="70" t="s">
        <v>2283</v>
      </c>
      <c r="P266" s="70" t="s">
        <v>2283</v>
      </c>
      <c r="Q266" s="70" t="s">
        <v>2283</v>
      </c>
      <c r="R266" s="70" t="s">
        <v>2283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1870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1871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1872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1859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1873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20</v>
      </c>
      <c r="J272" s="146" t="s">
        <v>1874</v>
      </c>
      <c r="K272" s="31">
        <f t="shared" si="14"/>
        <v>8</v>
      </c>
      <c r="L272" s="32">
        <f t="shared" si="15"/>
        <v>0.7142857142857143</v>
      </c>
      <c r="M272" s="70" t="s">
        <v>2283</v>
      </c>
      <c r="N272" s="70" t="s">
        <v>2283</v>
      </c>
      <c r="O272" s="70" t="s">
        <v>2283</v>
      </c>
      <c r="P272" s="70" t="s">
        <v>2283</v>
      </c>
      <c r="Q272" s="70" t="s">
        <v>2283</v>
      </c>
      <c r="R272" s="70" t="s">
        <v>2283</v>
      </c>
      <c r="S272" s="70"/>
      <c r="T272" s="70"/>
      <c r="U272" s="70" t="s">
        <v>2283</v>
      </c>
      <c r="V272" s="70"/>
      <c r="W272" s="70"/>
      <c r="X272" s="70" t="s">
        <v>2283</v>
      </c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1875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1358</v>
      </c>
      <c r="I274" s="31">
        <f t="shared" si="13"/>
        <v>28</v>
      </c>
      <c r="J274" s="146" t="s">
        <v>1876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1877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1878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1495</v>
      </c>
      <c r="I277" s="31">
        <f t="shared" si="13"/>
        <v>28</v>
      </c>
      <c r="J277" s="146" t="s">
        <v>1879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1496</v>
      </c>
      <c r="I278" s="141">
        <f t="shared" si="13"/>
        <v>27</v>
      </c>
      <c r="J278" s="146" t="s">
        <v>1880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2283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1490</v>
      </c>
      <c r="C279" t="s">
        <v>1060</v>
      </c>
      <c r="D279" t="s">
        <v>1489</v>
      </c>
      <c r="E279" s="30" t="s">
        <v>73</v>
      </c>
      <c r="F279" s="30" t="s">
        <v>28</v>
      </c>
      <c r="G279" s="30"/>
      <c r="H279" s="30" t="s">
        <v>1491</v>
      </c>
      <c r="I279" s="141">
        <f t="shared" si="13"/>
        <v>28</v>
      </c>
      <c r="J279" s="146" t="s">
        <v>1881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1492</v>
      </c>
      <c r="C280" t="s">
        <v>1060</v>
      </c>
      <c r="D280" t="s">
        <v>1489</v>
      </c>
      <c r="E280" s="30" t="s">
        <v>73</v>
      </c>
      <c r="F280" s="30" t="s">
        <v>28</v>
      </c>
      <c r="G280" s="30"/>
      <c r="H280" s="30" t="s">
        <v>1497</v>
      </c>
      <c r="I280" s="141">
        <f t="shared" si="13"/>
        <v>28</v>
      </c>
      <c r="J280" s="146" t="s">
        <v>1882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2208</v>
      </c>
      <c r="B281" t="s">
        <v>2209</v>
      </c>
      <c r="C281" t="s">
        <v>1061</v>
      </c>
      <c r="D281" t="s">
        <v>2210</v>
      </c>
      <c r="E281" s="30" t="s">
        <v>19</v>
      </c>
      <c r="F281" s="85" t="s">
        <v>1299</v>
      </c>
      <c r="G281" s="30"/>
      <c r="H281" s="30" t="s">
        <v>2211</v>
      </c>
      <c r="I281" s="141">
        <f t="shared" si="13"/>
        <v>28</v>
      </c>
      <c r="J281" s="146" t="s">
        <v>2212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2208</v>
      </c>
      <c r="B282" t="s">
        <v>2213</v>
      </c>
      <c r="C282" t="s">
        <v>1061</v>
      </c>
      <c r="D282" t="s">
        <v>2215</v>
      </c>
      <c r="E282" s="30" t="s">
        <v>19</v>
      </c>
      <c r="F282" s="85" t="s">
        <v>1299</v>
      </c>
      <c r="G282" s="30"/>
      <c r="H282" s="30" t="s">
        <v>2214</v>
      </c>
      <c r="I282" s="141">
        <f t="shared" si="13"/>
        <v>28</v>
      </c>
      <c r="J282" s="146" t="s">
        <v>2216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28</v>
      </c>
      <c r="J283" s="146" t="s">
        <v>1883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1370</v>
      </c>
      <c r="I284" s="141">
        <f t="shared" si="13"/>
        <v>28</v>
      </c>
      <c r="J284" s="146" t="s">
        <v>1884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1885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1360</v>
      </c>
      <c r="I286" s="141">
        <f t="shared" si="13"/>
        <v>28</v>
      </c>
      <c r="J286" s="146" t="s">
        <v>1886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1361</v>
      </c>
      <c r="I287" s="141">
        <f t="shared" si="13"/>
        <v>28</v>
      </c>
      <c r="J287" s="146" t="s">
        <v>1887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1689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1888</v>
      </c>
      <c r="K289" s="31">
        <f t="shared" si="14"/>
        <v>3</v>
      </c>
      <c r="L289" s="32">
        <f t="shared" si="15"/>
        <v>0.8928571428571429</v>
      </c>
      <c r="M289" s="70" t="s">
        <v>2283</v>
      </c>
      <c r="N289" s="70" t="s">
        <v>2283</v>
      </c>
      <c r="O289" s="70" t="s">
        <v>2283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1369</v>
      </c>
      <c r="I290" s="141">
        <f t="shared" si="13"/>
        <v>28</v>
      </c>
      <c r="J290" s="146" t="s">
        <v>1889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24</v>
      </c>
      <c r="J291" s="146" t="s">
        <v>1890</v>
      </c>
      <c r="K291" s="141">
        <f t="shared" si="14"/>
        <v>4</v>
      </c>
      <c r="L291" s="142">
        <f t="shared" si="15"/>
        <v>0.8571428571428571</v>
      </c>
      <c r="M291" s="70" t="s">
        <v>2283</v>
      </c>
      <c r="N291" s="70" t="s">
        <v>2283</v>
      </c>
      <c r="O291" s="70" t="s">
        <v>2283</v>
      </c>
      <c r="P291" s="70"/>
      <c r="Q291" s="70"/>
      <c r="R291" s="70"/>
      <c r="S291" s="70"/>
      <c r="T291" s="70"/>
      <c r="U291" s="70"/>
      <c r="V291" s="70"/>
      <c r="W291" s="70"/>
      <c r="X291" s="70" t="s">
        <v>2283</v>
      </c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1356</v>
      </c>
      <c r="I292" s="141">
        <f t="shared" si="13"/>
        <v>28</v>
      </c>
      <c r="J292" s="146" t="s">
        <v>1891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1536</v>
      </c>
      <c r="B293" s="73" t="s">
        <v>1535</v>
      </c>
      <c r="C293" s="73" t="s">
        <v>1060</v>
      </c>
      <c r="D293" s="73" t="s">
        <v>1537</v>
      </c>
      <c r="E293" s="85" t="s">
        <v>19</v>
      </c>
      <c r="F293" s="85" t="s">
        <v>1299</v>
      </c>
      <c r="G293" s="85"/>
      <c r="H293" s="85" t="s">
        <v>1538</v>
      </c>
      <c r="I293" s="141">
        <f t="shared" si="13"/>
        <v>28</v>
      </c>
      <c r="J293" s="146" t="s">
        <v>1892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1536</v>
      </c>
      <c r="B294" s="73" t="s">
        <v>1649</v>
      </c>
      <c r="C294" s="73" t="s">
        <v>1060</v>
      </c>
      <c r="D294" s="73" t="s">
        <v>1650</v>
      </c>
      <c r="E294" s="85" t="s">
        <v>19</v>
      </c>
      <c r="F294" s="85" t="s">
        <v>28</v>
      </c>
      <c r="G294" s="85"/>
      <c r="H294" s="85" t="s">
        <v>1651</v>
      </c>
      <c r="I294" s="141">
        <f t="shared" si="13"/>
        <v>28</v>
      </c>
      <c r="J294" s="87" t="s">
        <v>2191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1893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1894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1895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1896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1897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1898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1899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1900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1901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2283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s="69" customFormat="1" ht="21" customHeight="1" thickBot="1" x14ac:dyDescent="0.3">
      <c r="A304" s="69" t="s">
        <v>186</v>
      </c>
      <c r="B304" s="69" t="s">
        <v>344</v>
      </c>
      <c r="C304" s="69" t="s">
        <v>1061</v>
      </c>
      <c r="D304" s="69" t="s">
        <v>343</v>
      </c>
      <c r="E304" s="152" t="s">
        <v>73</v>
      </c>
      <c r="F304" s="152" t="s">
        <v>28</v>
      </c>
      <c r="G304" s="30"/>
      <c r="H304" s="152" t="s">
        <v>754</v>
      </c>
      <c r="I304" s="31">
        <f t="shared" si="13"/>
        <v>18</v>
      </c>
      <c r="J304" s="146" t="s">
        <v>1902</v>
      </c>
      <c r="K304" s="31">
        <f t="shared" si="14"/>
        <v>10</v>
      </c>
      <c r="L304" s="32">
        <f t="shared" si="15"/>
        <v>0.6428571428571429</v>
      </c>
      <c r="M304" s="153" t="s">
        <v>2283</v>
      </c>
      <c r="N304" s="153" t="s">
        <v>2283</v>
      </c>
      <c r="O304" s="153" t="s">
        <v>2283</v>
      </c>
      <c r="P304" s="153" t="s">
        <v>2283</v>
      </c>
      <c r="Q304" s="153" t="s">
        <v>2283</v>
      </c>
      <c r="R304" s="153" t="s">
        <v>2283</v>
      </c>
      <c r="S304" s="153"/>
      <c r="T304" s="153"/>
      <c r="U304" s="153" t="s">
        <v>2283</v>
      </c>
      <c r="V304" s="153" t="s">
        <v>2283</v>
      </c>
      <c r="W304" s="153" t="s">
        <v>2283</v>
      </c>
      <c r="X304" s="153" t="s">
        <v>2283</v>
      </c>
      <c r="Y304" s="153"/>
      <c r="Z304" s="153"/>
      <c r="AA304" s="153"/>
      <c r="AB304" s="153"/>
      <c r="AC304" s="153"/>
      <c r="AD304" s="153"/>
      <c r="AE304" s="153"/>
      <c r="AF304" s="153"/>
      <c r="AG304" s="153"/>
      <c r="AH304" s="153"/>
      <c r="AI304" s="153"/>
      <c r="AJ304" s="153"/>
      <c r="AK304" s="153"/>
      <c r="AL304" s="153"/>
      <c r="AM304" s="153"/>
      <c r="AN304" s="153"/>
    </row>
    <row r="305" spans="1:40" ht="15.75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1903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2283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1904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2283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1905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2283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1906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2283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26</v>
      </c>
      <c r="J309" s="146" t="s">
        <v>1907</v>
      </c>
      <c r="K309" s="31">
        <f t="shared" si="14"/>
        <v>2</v>
      </c>
      <c r="L309" s="32">
        <f t="shared" si="15"/>
        <v>0.9285714285714286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2283</v>
      </c>
      <c r="X309" s="70" t="s">
        <v>2283</v>
      </c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26</v>
      </c>
      <c r="J310" s="146" t="s">
        <v>1908</v>
      </c>
      <c r="K310" s="31">
        <f t="shared" si="14"/>
        <v>2</v>
      </c>
      <c r="L310" s="32">
        <f t="shared" si="15"/>
        <v>0.9285714285714286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2283</v>
      </c>
      <c r="X310" s="70" t="s">
        <v>2283</v>
      </c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26</v>
      </c>
      <c r="J311" s="146" t="s">
        <v>1909</v>
      </c>
      <c r="K311" s="31">
        <f t="shared" si="14"/>
        <v>2</v>
      </c>
      <c r="L311" s="32">
        <f t="shared" si="15"/>
        <v>0.9285714285714286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2283</v>
      </c>
      <c r="X311" s="70" t="s">
        <v>2283</v>
      </c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1910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1911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1912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18</v>
      </c>
      <c r="J316" s="146" t="s">
        <v>1913</v>
      </c>
      <c r="K316" s="141">
        <f t="shared" si="14"/>
        <v>10</v>
      </c>
      <c r="L316" s="142">
        <f t="shared" si="15"/>
        <v>0.6428571428571429</v>
      </c>
      <c r="M316" s="70" t="s">
        <v>2283</v>
      </c>
      <c r="N316" s="70" t="s">
        <v>2283</v>
      </c>
      <c r="O316" s="70" t="s">
        <v>2283</v>
      </c>
      <c r="P316" s="70" t="s">
        <v>2283</v>
      </c>
      <c r="Q316" s="70" t="s">
        <v>2283</v>
      </c>
      <c r="R316" s="70" t="s">
        <v>2283</v>
      </c>
      <c r="S316" s="70"/>
      <c r="T316" s="70"/>
      <c r="U316" s="70" t="s">
        <v>2283</v>
      </c>
      <c r="V316" s="70" t="s">
        <v>2283</v>
      </c>
      <c r="W316" s="70" t="s">
        <v>2283</v>
      </c>
      <c r="X316" s="70" t="s">
        <v>2283</v>
      </c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1628</v>
      </c>
      <c r="I317" s="141">
        <f t="shared" si="13"/>
        <v>28</v>
      </c>
      <c r="J317" s="146" t="s">
        <v>2148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19</v>
      </c>
      <c r="J318" s="146" t="s">
        <v>1914</v>
      </c>
      <c r="K318" s="31">
        <f t="shared" ref="K318:K388" si="17">COUNTIF(M318:AN318,"APAGADO")</f>
        <v>9</v>
      </c>
      <c r="L318" s="32">
        <f t="shared" ref="L318:L388" si="18">(I318)/(K318+I318)</f>
        <v>0.6785714285714286</v>
      </c>
      <c r="M318" s="70" t="s">
        <v>2283</v>
      </c>
      <c r="N318" s="70" t="s">
        <v>2283</v>
      </c>
      <c r="O318" s="70" t="s">
        <v>2283</v>
      </c>
      <c r="P318" s="70" t="s">
        <v>2283</v>
      </c>
      <c r="Q318" s="70" t="s">
        <v>2283</v>
      </c>
      <c r="R318" s="70" t="s">
        <v>2283</v>
      </c>
      <c r="S318" s="70"/>
      <c r="T318" s="70"/>
      <c r="U318" s="70"/>
      <c r="V318" s="70" t="s">
        <v>2283</v>
      </c>
      <c r="W318" s="70" t="s">
        <v>2283</v>
      </c>
      <c r="X318" s="70" t="s">
        <v>2283</v>
      </c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19</v>
      </c>
      <c r="J319" s="146" t="s">
        <v>1915</v>
      </c>
      <c r="K319" s="141">
        <f t="shared" si="17"/>
        <v>9</v>
      </c>
      <c r="L319" s="142">
        <f t="shared" si="18"/>
        <v>0.6785714285714286</v>
      </c>
      <c r="M319" s="70" t="s">
        <v>2283</v>
      </c>
      <c r="N319" s="70" t="s">
        <v>2283</v>
      </c>
      <c r="O319" s="70" t="s">
        <v>2283</v>
      </c>
      <c r="P319" s="70" t="s">
        <v>2283</v>
      </c>
      <c r="Q319" s="70" t="s">
        <v>2283</v>
      </c>
      <c r="R319" s="70" t="s">
        <v>2283</v>
      </c>
      <c r="S319" s="70"/>
      <c r="T319" s="70"/>
      <c r="U319" s="70"/>
      <c r="V319" s="70" t="s">
        <v>2283</v>
      </c>
      <c r="W319" s="70" t="s">
        <v>2283</v>
      </c>
      <c r="X319" s="70" t="s">
        <v>2283</v>
      </c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18</v>
      </c>
      <c r="J320" s="87" t="s">
        <v>2192</v>
      </c>
      <c r="K320" s="141">
        <f t="shared" si="17"/>
        <v>10</v>
      </c>
      <c r="L320" s="142">
        <f t="shared" si="18"/>
        <v>0.6428571428571429</v>
      </c>
      <c r="M320" s="70" t="s">
        <v>2283</v>
      </c>
      <c r="N320" s="70" t="s">
        <v>2283</v>
      </c>
      <c r="O320" s="70" t="s">
        <v>2283</v>
      </c>
      <c r="P320" s="70" t="s">
        <v>2283</v>
      </c>
      <c r="Q320" s="70" t="s">
        <v>2283</v>
      </c>
      <c r="R320" s="70" t="s">
        <v>2283</v>
      </c>
      <c r="S320" s="70"/>
      <c r="T320" s="70"/>
      <c r="U320" s="70" t="s">
        <v>2283</v>
      </c>
      <c r="V320" s="70" t="s">
        <v>2283</v>
      </c>
      <c r="W320" s="70" t="s">
        <v>2283</v>
      </c>
      <c r="X320" s="70" t="s">
        <v>2283</v>
      </c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18</v>
      </c>
      <c r="J321" s="146" t="s">
        <v>1916</v>
      </c>
      <c r="K321" s="141">
        <f t="shared" si="17"/>
        <v>10</v>
      </c>
      <c r="L321" s="142">
        <f t="shared" si="18"/>
        <v>0.6428571428571429</v>
      </c>
      <c r="M321" s="70" t="s">
        <v>2283</v>
      </c>
      <c r="N321" s="70" t="s">
        <v>2283</v>
      </c>
      <c r="O321" s="70" t="s">
        <v>2283</v>
      </c>
      <c r="P321" s="70" t="s">
        <v>2283</v>
      </c>
      <c r="Q321" s="70" t="s">
        <v>2283</v>
      </c>
      <c r="R321" s="70" t="s">
        <v>2283</v>
      </c>
      <c r="S321" s="70"/>
      <c r="T321" s="70"/>
      <c r="U321" s="70" t="s">
        <v>2283</v>
      </c>
      <c r="V321" s="70" t="s">
        <v>2283</v>
      </c>
      <c r="W321" s="70" t="s">
        <v>2283</v>
      </c>
      <c r="X321" s="70" t="s">
        <v>2283</v>
      </c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18</v>
      </c>
      <c r="J322" s="146" t="s">
        <v>1917</v>
      </c>
      <c r="K322" s="31">
        <f t="shared" si="17"/>
        <v>10</v>
      </c>
      <c r="L322" s="32">
        <f t="shared" si="18"/>
        <v>0.6428571428571429</v>
      </c>
      <c r="M322" s="70" t="s">
        <v>2283</v>
      </c>
      <c r="N322" s="70" t="s">
        <v>2283</v>
      </c>
      <c r="O322" s="70" t="s">
        <v>2283</v>
      </c>
      <c r="P322" s="70" t="s">
        <v>2283</v>
      </c>
      <c r="Q322" s="70" t="s">
        <v>2283</v>
      </c>
      <c r="R322" s="70" t="s">
        <v>2283</v>
      </c>
      <c r="S322" s="70"/>
      <c r="T322" s="70"/>
      <c r="U322" s="70" t="s">
        <v>2283</v>
      </c>
      <c r="V322" s="70" t="s">
        <v>2283</v>
      </c>
      <c r="W322" s="70" t="s">
        <v>2283</v>
      </c>
      <c r="X322" s="70" t="s">
        <v>2283</v>
      </c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1918</v>
      </c>
      <c r="K323" s="31">
        <f t="shared" si="17"/>
        <v>3</v>
      </c>
      <c r="L323" s="32">
        <f t="shared" si="18"/>
        <v>0.8928571428571429</v>
      </c>
      <c r="M323" s="70" t="s">
        <v>2283</v>
      </c>
      <c r="N323" s="70" t="s">
        <v>2283</v>
      </c>
      <c r="O323" s="70" t="s">
        <v>2283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1919</v>
      </c>
      <c r="K324" s="31">
        <f t="shared" si="17"/>
        <v>3</v>
      </c>
      <c r="L324" s="32">
        <f t="shared" si="18"/>
        <v>0.8928571428571429</v>
      </c>
      <c r="M324" s="70" t="s">
        <v>2283</v>
      </c>
      <c r="N324" s="70" t="s">
        <v>2283</v>
      </c>
      <c r="O324" s="70" t="s">
        <v>2283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1920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1921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1922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28</v>
      </c>
      <c r="J328" s="146" t="s">
        <v>1923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1924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1926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1927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1928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28</v>
      </c>
      <c r="J334" s="146" t="s">
        <v>1929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1377</v>
      </c>
      <c r="C335" t="s">
        <v>1061</v>
      </c>
      <c r="D335" s="68" t="s">
        <v>1380</v>
      </c>
      <c r="E335" s="30" t="s">
        <v>19</v>
      </c>
      <c r="F335" s="30" t="s">
        <v>28</v>
      </c>
      <c r="G335" s="30"/>
      <c r="H335" s="30" t="s">
        <v>1392</v>
      </c>
      <c r="I335" s="31">
        <f t="shared" si="16"/>
        <v>25</v>
      </c>
      <c r="J335" s="146" t="s">
        <v>1930</v>
      </c>
      <c r="K335" s="31">
        <f t="shared" si="17"/>
        <v>3</v>
      </c>
      <c r="L335" s="32">
        <f t="shared" si="18"/>
        <v>0.8928571428571429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2283</v>
      </c>
      <c r="W335" s="70" t="s">
        <v>2283</v>
      </c>
      <c r="X335" s="70" t="s">
        <v>2283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1378</v>
      </c>
      <c r="C336" t="s">
        <v>1061</v>
      </c>
      <c r="D336" s="68" t="s">
        <v>1381</v>
      </c>
      <c r="E336" s="30" t="s">
        <v>73</v>
      </c>
      <c r="F336" s="30" t="s">
        <v>28</v>
      </c>
      <c r="G336" s="30"/>
      <c r="H336" s="30" t="s">
        <v>1393</v>
      </c>
      <c r="I336" s="31">
        <f t="shared" si="16"/>
        <v>25</v>
      </c>
      <c r="J336" s="146" t="s">
        <v>1931</v>
      </c>
      <c r="K336" s="31">
        <f t="shared" si="17"/>
        <v>3</v>
      </c>
      <c r="L336" s="32">
        <f t="shared" si="18"/>
        <v>0.8928571428571429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2283</v>
      </c>
      <c r="W336" s="70" t="s">
        <v>2283</v>
      </c>
      <c r="X336" s="70" t="s">
        <v>2283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1379</v>
      </c>
      <c r="C337" t="s">
        <v>1061</v>
      </c>
      <c r="D337" s="68" t="s">
        <v>1382</v>
      </c>
      <c r="E337" s="30" t="s">
        <v>73</v>
      </c>
      <c r="F337" s="30" t="s">
        <v>28</v>
      </c>
      <c r="G337" s="30"/>
      <c r="H337" s="30" t="s">
        <v>1394</v>
      </c>
      <c r="I337" s="31">
        <f t="shared" si="16"/>
        <v>25</v>
      </c>
      <c r="J337" s="146" t="s">
        <v>1932</v>
      </c>
      <c r="K337" s="31">
        <f t="shared" si="17"/>
        <v>3</v>
      </c>
      <c r="L337" s="32">
        <f t="shared" si="18"/>
        <v>0.8928571428571429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2283</v>
      </c>
      <c r="W337" s="70" t="s">
        <v>2283</v>
      </c>
      <c r="X337" s="70" t="s">
        <v>2283</v>
      </c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2252</v>
      </c>
      <c r="C338" t="s">
        <v>1061</v>
      </c>
      <c r="D338" s="68" t="s">
        <v>2234</v>
      </c>
      <c r="E338" s="85" t="s">
        <v>15</v>
      </c>
      <c r="F338" s="30" t="s">
        <v>28</v>
      </c>
      <c r="G338" s="30"/>
      <c r="H338" s="30" t="s">
        <v>2253</v>
      </c>
      <c r="I338" s="31">
        <f t="shared" si="16"/>
        <v>25</v>
      </c>
      <c r="J338" s="151" t="s">
        <v>2235</v>
      </c>
      <c r="K338" s="31">
        <f t="shared" si="17"/>
        <v>3</v>
      </c>
      <c r="L338" s="32">
        <f t="shared" si="18"/>
        <v>0.8928571428571429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2283</v>
      </c>
      <c r="W338" s="70" t="s">
        <v>2283</v>
      </c>
      <c r="X338" s="70" t="s">
        <v>2283</v>
      </c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2236</v>
      </c>
      <c r="C339" t="s">
        <v>1061</v>
      </c>
      <c r="D339" s="68" t="s">
        <v>2237</v>
      </c>
      <c r="E339" s="85" t="s">
        <v>15</v>
      </c>
      <c r="F339" s="30" t="s">
        <v>28</v>
      </c>
      <c r="G339" s="30"/>
      <c r="H339" s="30" t="s">
        <v>2238</v>
      </c>
      <c r="I339" s="31">
        <f t="shared" si="16"/>
        <v>25</v>
      </c>
      <c r="J339" s="146" t="s">
        <v>2239</v>
      </c>
      <c r="K339" s="31">
        <f t="shared" si="17"/>
        <v>3</v>
      </c>
      <c r="L339" s="32">
        <f t="shared" si="18"/>
        <v>0.8928571428571429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2283</v>
      </c>
      <c r="W339" s="70" t="s">
        <v>2283</v>
      </c>
      <c r="X339" s="70" t="s">
        <v>2283</v>
      </c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1933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1934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1935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1936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1937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1938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2283</v>
      </c>
      <c r="V345" s="70" t="s">
        <v>2283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1939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1940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1941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2283</v>
      </c>
      <c r="V348" s="70" t="s">
        <v>2283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1942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1943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1944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1482</v>
      </c>
      <c r="I352" s="31">
        <f t="shared" si="16"/>
        <v>28</v>
      </c>
      <c r="J352" s="146" t="s">
        <v>1945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1383</v>
      </c>
      <c r="C353" t="s">
        <v>1061</v>
      </c>
      <c r="D353" s="68" t="s">
        <v>1386</v>
      </c>
      <c r="E353" s="30" t="s">
        <v>15</v>
      </c>
      <c r="F353" s="30" t="s">
        <v>1054</v>
      </c>
      <c r="G353" s="30"/>
      <c r="H353" s="30" t="s">
        <v>1390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1384</v>
      </c>
      <c r="C354" t="s">
        <v>1061</v>
      </c>
      <c r="D354" s="68" t="s">
        <v>1387</v>
      </c>
      <c r="E354" s="30" t="s">
        <v>73</v>
      </c>
      <c r="F354" s="30" t="s">
        <v>1054</v>
      </c>
      <c r="G354" s="30"/>
      <c r="H354" s="30" t="s">
        <v>1391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1385</v>
      </c>
      <c r="C355" t="s">
        <v>1061</v>
      </c>
      <c r="D355" s="68" t="s">
        <v>1388</v>
      </c>
      <c r="E355" s="30" t="s">
        <v>15</v>
      </c>
      <c r="F355" s="30" t="s">
        <v>28</v>
      </c>
      <c r="G355" s="30"/>
      <c r="H355" s="30" t="s">
        <v>1499</v>
      </c>
      <c r="I355" s="31">
        <f t="shared" si="16"/>
        <v>28</v>
      </c>
      <c r="J355" s="146" t="s">
        <v>1946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1948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1949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2229</v>
      </c>
      <c r="I361" s="31">
        <f t="shared" si="16"/>
        <v>28</v>
      </c>
      <c r="J361" s="146" t="s">
        <v>1950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2230</v>
      </c>
      <c r="I362" s="31">
        <f t="shared" si="16"/>
        <v>28</v>
      </c>
      <c r="J362" s="146" t="s">
        <v>1951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1952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1953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1954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1955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1956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1957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1318</v>
      </c>
      <c r="B369" s="73" t="s">
        <v>1571</v>
      </c>
      <c r="C369" s="73" t="s">
        <v>1060</v>
      </c>
      <c r="D369" s="73" t="s">
        <v>1574</v>
      </c>
      <c r="E369" s="85" t="s">
        <v>73</v>
      </c>
      <c r="F369" s="85" t="s">
        <v>1299</v>
      </c>
      <c r="G369"/>
      <c r="H369" s="85" t="s">
        <v>1575</v>
      </c>
      <c r="I369" s="31">
        <f t="shared" si="16"/>
        <v>28</v>
      </c>
      <c r="J369" s="146" t="s">
        <v>1958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1318</v>
      </c>
      <c r="B370" s="73" t="s">
        <v>1572</v>
      </c>
      <c r="C370" s="73" t="s">
        <v>1060</v>
      </c>
      <c r="D370" s="73" t="s">
        <v>1576</v>
      </c>
      <c r="E370" s="73" t="s">
        <v>73</v>
      </c>
      <c r="F370" s="85" t="s">
        <v>1299</v>
      </c>
      <c r="G370"/>
      <c r="H370" s="85" t="s">
        <v>1577</v>
      </c>
      <c r="I370" s="31">
        <f t="shared" si="16"/>
        <v>26</v>
      </c>
      <c r="J370" s="146" t="s">
        <v>1959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2283</v>
      </c>
      <c r="V370" s="70" t="s">
        <v>2283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1318</v>
      </c>
      <c r="B371" s="73" t="s">
        <v>1573</v>
      </c>
      <c r="C371" s="73" t="s">
        <v>1060</v>
      </c>
      <c r="D371" s="73" t="s">
        <v>1578</v>
      </c>
      <c r="E371" s="73" t="s">
        <v>73</v>
      </c>
      <c r="F371" s="85" t="s">
        <v>1299</v>
      </c>
      <c r="G371"/>
      <c r="H371" s="85" t="s">
        <v>1579</v>
      </c>
      <c r="I371" s="31">
        <f t="shared" si="16"/>
        <v>28</v>
      </c>
      <c r="J371" s="146" t="s">
        <v>1960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1318</v>
      </c>
      <c r="B372" s="73" t="s">
        <v>1631</v>
      </c>
      <c r="C372" s="73" t="s">
        <v>1060</v>
      </c>
      <c r="D372" s="73" t="s">
        <v>1632</v>
      </c>
      <c r="E372" s="73" t="s">
        <v>19</v>
      </c>
      <c r="F372" s="85" t="s">
        <v>1299</v>
      </c>
      <c r="G372"/>
      <c r="H372" s="85" t="s">
        <v>1633</v>
      </c>
      <c r="I372" s="31">
        <f t="shared" si="16"/>
        <v>28</v>
      </c>
      <c r="J372" s="146" t="s">
        <v>2142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1961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1962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1481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2172</v>
      </c>
      <c r="C376" s="73" t="s">
        <v>1060</v>
      </c>
      <c r="D376" s="73" t="s">
        <v>2173</v>
      </c>
      <c r="E376" s="85" t="s">
        <v>73</v>
      </c>
      <c r="F376" s="30" t="s">
        <v>28</v>
      </c>
      <c r="G376"/>
      <c r="H376" s="85" t="s">
        <v>2174</v>
      </c>
      <c r="I376" s="141">
        <f t="shared" si="16"/>
        <v>28</v>
      </c>
      <c r="J376" s="151" t="s">
        <v>2175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1963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1964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1965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1966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1967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18</v>
      </c>
      <c r="J383" s="73"/>
      <c r="K383" s="31">
        <f t="shared" si="17"/>
        <v>10</v>
      </c>
      <c r="L383" s="32">
        <f t="shared" si="18"/>
        <v>0.6428571428571429</v>
      </c>
      <c r="M383" s="70" t="s">
        <v>2283</v>
      </c>
      <c r="N383" s="70" t="s">
        <v>2283</v>
      </c>
      <c r="O383" s="70" t="s">
        <v>2283</v>
      </c>
      <c r="P383" s="70" t="s">
        <v>2283</v>
      </c>
      <c r="Q383" s="70" t="s">
        <v>2283</v>
      </c>
      <c r="R383" s="70" t="s">
        <v>2283</v>
      </c>
      <c r="S383" s="70"/>
      <c r="T383" s="70"/>
      <c r="U383" s="70" t="s">
        <v>2283</v>
      </c>
      <c r="V383" s="70" t="s">
        <v>2283</v>
      </c>
      <c r="W383" s="70" t="s">
        <v>2283</v>
      </c>
      <c r="X383" s="70" t="s">
        <v>2283</v>
      </c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2119</v>
      </c>
      <c r="I384" s="141">
        <f t="shared" si="16"/>
        <v>23</v>
      </c>
      <c r="J384" s="146" t="s">
        <v>1968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2283</v>
      </c>
      <c r="Q384" s="70" t="s">
        <v>2283</v>
      </c>
      <c r="R384" s="70" t="s">
        <v>2283</v>
      </c>
      <c r="S384" s="70"/>
      <c r="T384" s="70"/>
      <c r="U384" s="70" t="s">
        <v>2283</v>
      </c>
      <c r="V384" s="70" t="s">
        <v>2283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1514</v>
      </c>
      <c r="I385" s="87">
        <f t="shared" si="16"/>
        <v>28</v>
      </c>
      <c r="J385" s="146" t="s">
        <v>1969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1970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2283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1971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2283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1972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2283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s="6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18</v>
      </c>
      <c r="J389" s="146" t="s">
        <v>1973</v>
      </c>
      <c r="K389" s="31">
        <f t="shared" ref="K389:K470" si="20">COUNTIF(M389:AN389,"APAGADO")</f>
        <v>10</v>
      </c>
      <c r="L389" s="32">
        <f t="shared" ref="L389:L470" si="21">(I389)/(K389+I389)</f>
        <v>0.6428571428571429</v>
      </c>
      <c r="M389" s="70" t="s">
        <v>2283</v>
      </c>
      <c r="N389" s="70" t="s">
        <v>2283</v>
      </c>
      <c r="O389" s="70" t="s">
        <v>2283</v>
      </c>
      <c r="P389" s="70" t="s">
        <v>2283</v>
      </c>
      <c r="Q389" s="70" t="s">
        <v>2283</v>
      </c>
      <c r="R389" s="70" t="s">
        <v>2283</v>
      </c>
      <c r="S389" s="70"/>
      <c r="T389" s="70"/>
      <c r="U389" s="70" t="s">
        <v>2283</v>
      </c>
      <c r="V389" s="70" t="s">
        <v>2283</v>
      </c>
      <c r="W389" s="70" t="s">
        <v>2283</v>
      </c>
      <c r="X389" s="70" t="s">
        <v>2283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18</v>
      </c>
      <c r="J390" s="146" t="s">
        <v>1974</v>
      </c>
      <c r="K390" s="31">
        <f t="shared" si="20"/>
        <v>10</v>
      </c>
      <c r="L390" s="32">
        <f t="shared" si="21"/>
        <v>0.6428571428571429</v>
      </c>
      <c r="M390" s="70" t="s">
        <v>2283</v>
      </c>
      <c r="N390" s="70" t="s">
        <v>2283</v>
      </c>
      <c r="O390" s="70" t="s">
        <v>2283</v>
      </c>
      <c r="P390" s="70" t="s">
        <v>2283</v>
      </c>
      <c r="Q390" s="70" t="s">
        <v>2283</v>
      </c>
      <c r="R390" s="70" t="s">
        <v>2283</v>
      </c>
      <c r="S390" s="70"/>
      <c r="T390" s="70"/>
      <c r="U390" s="70" t="s">
        <v>2283</v>
      </c>
      <c r="V390" s="70" t="s">
        <v>2283</v>
      </c>
      <c r="W390" s="70" t="s">
        <v>2283</v>
      </c>
      <c r="X390" s="70" t="s">
        <v>2283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1975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2283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1976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2283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1977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2283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1978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2283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900</v>
      </c>
      <c r="C395" s="69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18</v>
      </c>
      <c r="J395" s="146" t="s">
        <v>1979</v>
      </c>
      <c r="K395" s="31">
        <f t="shared" si="20"/>
        <v>10</v>
      </c>
      <c r="L395" s="32">
        <f t="shared" si="21"/>
        <v>0.6428571428571429</v>
      </c>
      <c r="M395" s="70" t="s">
        <v>2283</v>
      </c>
      <c r="N395" s="70" t="s">
        <v>2283</v>
      </c>
      <c r="O395" s="70" t="s">
        <v>2283</v>
      </c>
      <c r="P395" s="70" t="s">
        <v>2283</v>
      </c>
      <c r="Q395" s="70" t="s">
        <v>2283</v>
      </c>
      <c r="R395" s="70" t="s">
        <v>2283</v>
      </c>
      <c r="S395" s="70"/>
      <c r="T395" s="70"/>
      <c r="U395" s="70" t="s">
        <v>2283</v>
      </c>
      <c r="V395" s="70" t="s">
        <v>2283</v>
      </c>
      <c r="W395" s="70" t="s">
        <v>2283</v>
      </c>
      <c r="X395" s="70" t="s">
        <v>2283</v>
      </c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902</v>
      </c>
      <c r="C396" s="69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18</v>
      </c>
      <c r="J396" s="146" t="s">
        <v>1980</v>
      </c>
      <c r="K396" s="31">
        <f t="shared" si="20"/>
        <v>10</v>
      </c>
      <c r="L396" s="32">
        <f t="shared" si="21"/>
        <v>0.6428571428571429</v>
      </c>
      <c r="M396" s="70" t="s">
        <v>2283</v>
      </c>
      <c r="N396" s="70" t="s">
        <v>2283</v>
      </c>
      <c r="O396" s="70" t="s">
        <v>2283</v>
      </c>
      <c r="P396" s="70" t="s">
        <v>2283</v>
      </c>
      <c r="Q396" s="70" t="s">
        <v>2283</v>
      </c>
      <c r="R396" s="70" t="s">
        <v>2283</v>
      </c>
      <c r="S396" s="70"/>
      <c r="T396" s="70"/>
      <c r="U396" s="70" t="s">
        <v>2283</v>
      </c>
      <c r="V396" s="70" t="s">
        <v>2283</v>
      </c>
      <c r="W396" s="70" t="s">
        <v>2283</v>
      </c>
      <c r="X396" s="70" t="s">
        <v>2283</v>
      </c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27</v>
      </c>
      <c r="J397" s="146" t="s">
        <v>1981</v>
      </c>
      <c r="K397" s="31">
        <f t="shared" si="20"/>
        <v>1</v>
      </c>
      <c r="L397" s="32">
        <f t="shared" si="21"/>
        <v>0.9642857142857143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2283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1434</v>
      </c>
      <c r="C398" s="73" t="s">
        <v>1060</v>
      </c>
      <c r="D398" s="73" t="s">
        <v>1437</v>
      </c>
      <c r="E398" s="30" t="s">
        <v>19</v>
      </c>
      <c r="F398" s="85" t="s">
        <v>1299</v>
      </c>
      <c r="G398" s="30"/>
      <c r="H398" s="85" t="s">
        <v>1438</v>
      </c>
      <c r="I398" s="141">
        <f t="shared" si="19"/>
        <v>28</v>
      </c>
      <c r="J398" s="146" t="s">
        <v>1982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1435</v>
      </c>
      <c r="C399" t="s">
        <v>1060</v>
      </c>
      <c r="D399" t="s">
        <v>1437</v>
      </c>
      <c r="E399" s="30" t="s">
        <v>73</v>
      </c>
      <c r="F399" s="30" t="s">
        <v>28</v>
      </c>
      <c r="G399" s="30"/>
      <c r="H399" s="85" t="s">
        <v>1500</v>
      </c>
      <c r="I399" s="31">
        <f t="shared" si="19"/>
        <v>28</v>
      </c>
      <c r="J399" s="146" t="s">
        <v>1983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1436</v>
      </c>
      <c r="C400" t="s">
        <v>1060</v>
      </c>
      <c r="D400" t="s">
        <v>1437</v>
      </c>
      <c r="E400" s="30" t="s">
        <v>73</v>
      </c>
      <c r="F400" s="30" t="s">
        <v>28</v>
      </c>
      <c r="G400" s="30"/>
      <c r="H400" s="85" t="s">
        <v>1498</v>
      </c>
      <c r="I400" s="31">
        <f t="shared" si="19"/>
        <v>28</v>
      </c>
      <c r="J400" s="146" t="s">
        <v>1984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1629</v>
      </c>
      <c r="C401" t="s">
        <v>1060</v>
      </c>
      <c r="D401" t="s">
        <v>2322</v>
      </c>
      <c r="E401" s="30" t="s">
        <v>19</v>
      </c>
      <c r="F401" s="30" t="s">
        <v>28</v>
      </c>
      <c r="G401" s="30"/>
      <c r="H401" s="85" t="s">
        <v>1630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2283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2275</v>
      </c>
      <c r="C402" t="s">
        <v>1060</v>
      </c>
      <c r="D402" t="s">
        <v>2276</v>
      </c>
      <c r="E402" s="30" t="s">
        <v>19</v>
      </c>
      <c r="F402" s="85" t="s">
        <v>1299</v>
      </c>
      <c r="G402" s="30"/>
      <c r="H402" s="85" t="s">
        <v>2277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2283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24</v>
      </c>
      <c r="J403" s="87"/>
      <c r="K403" s="31">
        <f t="shared" si="20"/>
        <v>4</v>
      </c>
      <c r="L403" s="32">
        <f t="shared" si="21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2283</v>
      </c>
      <c r="V403" s="70" t="s">
        <v>2283</v>
      </c>
      <c r="W403" s="70" t="s">
        <v>2283</v>
      </c>
      <c r="X403" s="70" t="s">
        <v>2283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1428</v>
      </c>
      <c r="I404" s="141">
        <f t="shared" si="19"/>
        <v>28</v>
      </c>
      <c r="J404" s="146" t="s">
        <v>1985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1396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1429</v>
      </c>
      <c r="I407" s="87">
        <f t="shared" si="19"/>
        <v>19</v>
      </c>
      <c r="J407" s="146" t="s">
        <v>1986</v>
      </c>
      <c r="K407" s="87">
        <f t="shared" si="20"/>
        <v>9</v>
      </c>
      <c r="L407" s="88">
        <f t="shared" si="21"/>
        <v>0.6785714285714286</v>
      </c>
      <c r="M407" s="89" t="s">
        <v>2283</v>
      </c>
      <c r="N407" s="89" t="s">
        <v>2283</v>
      </c>
      <c r="O407" s="89" t="s">
        <v>2283</v>
      </c>
      <c r="P407" s="89" t="s">
        <v>2283</v>
      </c>
      <c r="Q407" s="89" t="s">
        <v>2283</v>
      </c>
      <c r="R407" s="89" t="s">
        <v>2283</v>
      </c>
      <c r="S407" s="89"/>
      <c r="T407" s="89"/>
      <c r="U407" s="89"/>
      <c r="V407" s="89" t="s">
        <v>2283</v>
      </c>
      <c r="W407" s="89" t="s">
        <v>2283</v>
      </c>
      <c r="X407" s="89" t="s">
        <v>2283</v>
      </c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18</v>
      </c>
      <c r="J409" s="146" t="s">
        <v>1987</v>
      </c>
      <c r="K409" s="31">
        <f t="shared" si="20"/>
        <v>10</v>
      </c>
      <c r="L409" s="32">
        <f t="shared" si="21"/>
        <v>0.6428571428571429</v>
      </c>
      <c r="M409" s="70" t="s">
        <v>2283</v>
      </c>
      <c r="N409" s="70" t="s">
        <v>2283</v>
      </c>
      <c r="O409" s="70" t="s">
        <v>2283</v>
      </c>
      <c r="P409" s="70" t="s">
        <v>2283</v>
      </c>
      <c r="Q409" s="70" t="s">
        <v>2283</v>
      </c>
      <c r="R409" s="70" t="s">
        <v>2283</v>
      </c>
      <c r="S409" s="70"/>
      <c r="T409" s="70"/>
      <c r="U409" s="70" t="s">
        <v>2283</v>
      </c>
      <c r="V409" s="70" t="s">
        <v>2283</v>
      </c>
      <c r="W409" s="70" t="s">
        <v>2283</v>
      </c>
      <c r="X409" s="70" t="s">
        <v>2283</v>
      </c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18</v>
      </c>
      <c r="J410" s="146" t="s">
        <v>1988</v>
      </c>
      <c r="K410" s="31">
        <f t="shared" si="20"/>
        <v>10</v>
      </c>
      <c r="L410" s="32">
        <f t="shared" si="21"/>
        <v>0.6428571428571429</v>
      </c>
      <c r="M410" s="70" t="s">
        <v>2283</v>
      </c>
      <c r="N410" s="70" t="s">
        <v>2283</v>
      </c>
      <c r="O410" s="70" t="s">
        <v>2283</v>
      </c>
      <c r="P410" s="70" t="s">
        <v>2283</v>
      </c>
      <c r="Q410" s="70" t="s">
        <v>2283</v>
      </c>
      <c r="R410" s="70" t="s">
        <v>2283</v>
      </c>
      <c r="S410" s="70"/>
      <c r="T410" s="70"/>
      <c r="U410" s="70" t="s">
        <v>2283</v>
      </c>
      <c r="V410" s="70" t="s">
        <v>2283</v>
      </c>
      <c r="W410" s="70" t="s">
        <v>2283</v>
      </c>
      <c r="X410" s="70" t="s">
        <v>2283</v>
      </c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24</v>
      </c>
      <c r="J411" s="146" t="s">
        <v>1989</v>
      </c>
      <c r="K411" s="141">
        <f t="shared" si="20"/>
        <v>4</v>
      </c>
      <c r="L411" s="142">
        <f t="shared" si="21"/>
        <v>0.8571428571428571</v>
      </c>
      <c r="M411" s="70"/>
      <c r="N411" s="70"/>
      <c r="O411" s="70"/>
      <c r="P411" s="70"/>
      <c r="Q411" s="70"/>
      <c r="R411" s="70"/>
      <c r="S411" s="70"/>
      <c r="T411" s="70"/>
      <c r="U411" s="70" t="s">
        <v>2283</v>
      </c>
      <c r="V411" s="70" t="s">
        <v>2283</v>
      </c>
      <c r="W411" s="70" t="s">
        <v>2283</v>
      </c>
      <c r="X411" s="70" t="s">
        <v>2283</v>
      </c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24</v>
      </c>
      <c r="J412" s="146" t="s">
        <v>1990</v>
      </c>
      <c r="K412" s="141">
        <f t="shared" si="20"/>
        <v>4</v>
      </c>
      <c r="L412" s="142">
        <f t="shared" si="21"/>
        <v>0.8571428571428571</v>
      </c>
      <c r="M412" s="70"/>
      <c r="N412" s="70"/>
      <c r="O412" s="70"/>
      <c r="P412" s="70"/>
      <c r="Q412" s="70"/>
      <c r="R412" s="70"/>
      <c r="S412" s="70"/>
      <c r="T412" s="70"/>
      <c r="U412" s="70" t="s">
        <v>2283</v>
      </c>
      <c r="V412" s="70" t="s">
        <v>2283</v>
      </c>
      <c r="W412" s="70" t="s">
        <v>2283</v>
      </c>
      <c r="X412" s="70" t="s">
        <v>2283</v>
      </c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1542</v>
      </c>
      <c r="C413" s="73" t="s">
        <v>1061</v>
      </c>
      <c r="D413" s="73" t="s">
        <v>1543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1544</v>
      </c>
      <c r="C414" s="73" t="s">
        <v>1061</v>
      </c>
      <c r="D414" s="73" t="s">
        <v>1543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1625</v>
      </c>
      <c r="C415" s="73" t="s">
        <v>1061</v>
      </c>
      <c r="D415" s="73" t="s">
        <v>1626</v>
      </c>
      <c r="E415" s="85" t="s">
        <v>73</v>
      </c>
      <c r="F415" s="85" t="s">
        <v>1299</v>
      </c>
      <c r="G415" s="85"/>
      <c r="H415" s="85" t="s">
        <v>1627</v>
      </c>
      <c r="I415" s="141">
        <f t="shared" si="19"/>
        <v>28</v>
      </c>
      <c r="J415" s="87" t="s">
        <v>2147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2143</v>
      </c>
      <c r="C416" s="73" t="s">
        <v>1061</v>
      </c>
      <c r="D416" s="73" t="s">
        <v>2144</v>
      </c>
      <c r="E416" s="91" t="s">
        <v>19</v>
      </c>
      <c r="F416" s="85" t="s">
        <v>1299</v>
      </c>
      <c r="G416" s="85"/>
      <c r="H416" s="85" t="s">
        <v>2145</v>
      </c>
      <c r="I416" s="141">
        <f t="shared" si="19"/>
        <v>22</v>
      </c>
      <c r="J416" s="87" t="s">
        <v>2146</v>
      </c>
      <c r="K416" s="141">
        <f t="shared" si="20"/>
        <v>6</v>
      </c>
      <c r="L416" s="142">
        <f t="shared" si="21"/>
        <v>0.7857142857142857</v>
      </c>
      <c r="M416" s="70"/>
      <c r="N416" s="70"/>
      <c r="O416" s="70"/>
      <c r="P416" s="70" t="s">
        <v>2283</v>
      </c>
      <c r="Q416" s="70" t="s">
        <v>2283</v>
      </c>
      <c r="R416" s="70" t="s">
        <v>2283</v>
      </c>
      <c r="S416" s="70"/>
      <c r="T416" s="70"/>
      <c r="U416" s="70" t="s">
        <v>2283</v>
      </c>
      <c r="V416" s="70"/>
      <c r="W416" s="70" t="s">
        <v>2283</v>
      </c>
      <c r="X416" s="70" t="s">
        <v>2283</v>
      </c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2267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2196</v>
      </c>
      <c r="I417" s="31">
        <f t="shared" si="19"/>
        <v>28</v>
      </c>
      <c r="J417" s="87" t="s">
        <v>2197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2267</v>
      </c>
      <c r="B418" s="73" t="s">
        <v>1351</v>
      </c>
      <c r="C418" s="73" t="s">
        <v>1061</v>
      </c>
      <c r="D418" s="73" t="s">
        <v>1352</v>
      </c>
      <c r="E418" s="91" t="s">
        <v>19</v>
      </c>
      <c r="F418" s="85" t="s">
        <v>1299</v>
      </c>
      <c r="G418" s="85"/>
      <c r="H418" s="85" t="s">
        <v>1412</v>
      </c>
      <c r="I418" s="141">
        <f t="shared" si="19"/>
        <v>28</v>
      </c>
      <c r="J418" s="146" t="s">
        <v>1991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2267</v>
      </c>
      <c r="B419" s="73" t="s">
        <v>1400</v>
      </c>
      <c r="C419" s="73" t="s">
        <v>1061</v>
      </c>
      <c r="D419" s="73" t="s">
        <v>1401</v>
      </c>
      <c r="E419" s="91" t="s">
        <v>19</v>
      </c>
      <c r="F419" s="85" t="s">
        <v>1299</v>
      </c>
      <c r="G419" s="85"/>
      <c r="H419" s="85" t="s">
        <v>1402</v>
      </c>
      <c r="I419" s="141">
        <f t="shared" si="19"/>
        <v>28</v>
      </c>
      <c r="J419" s="146" t="s">
        <v>1992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2267</v>
      </c>
      <c r="B420" s="73" t="s">
        <v>2263</v>
      </c>
      <c r="C420" s="73" t="s">
        <v>1061</v>
      </c>
      <c r="D420" s="73" t="s">
        <v>2264</v>
      </c>
      <c r="E420" s="91" t="s">
        <v>19</v>
      </c>
      <c r="F420" s="85" t="s">
        <v>1299</v>
      </c>
      <c r="G420" s="85"/>
      <c r="H420" s="85" t="s">
        <v>2265</v>
      </c>
      <c r="I420" s="141">
        <f t="shared" si="19"/>
        <v>28</v>
      </c>
      <c r="J420" s="146" t="s">
        <v>2266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1371</v>
      </c>
      <c r="I421" s="141">
        <f t="shared" si="19"/>
        <v>28</v>
      </c>
      <c r="J421" s="146" t="s">
        <v>1993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1421</v>
      </c>
      <c r="I422" s="141">
        <f t="shared" si="19"/>
        <v>28</v>
      </c>
      <c r="J422" s="146" t="s">
        <v>1994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18</v>
      </c>
      <c r="J423" s="87"/>
      <c r="K423" s="31">
        <f t="shared" si="20"/>
        <v>10</v>
      </c>
      <c r="L423" s="32">
        <f t="shared" si="21"/>
        <v>0.6428571428571429</v>
      </c>
      <c r="M423" s="70" t="s">
        <v>2283</v>
      </c>
      <c r="N423" s="70" t="s">
        <v>2283</v>
      </c>
      <c r="O423" s="70" t="s">
        <v>2283</v>
      </c>
      <c r="P423" s="70" t="s">
        <v>2283</v>
      </c>
      <c r="Q423" s="70" t="s">
        <v>2283</v>
      </c>
      <c r="R423" s="70" t="s">
        <v>2283</v>
      </c>
      <c r="S423" s="70"/>
      <c r="T423" s="70"/>
      <c r="U423" s="70" t="s">
        <v>2283</v>
      </c>
      <c r="V423" s="70" t="s">
        <v>2283</v>
      </c>
      <c r="W423" s="70" t="s">
        <v>2283</v>
      </c>
      <c r="X423" s="70" t="s">
        <v>2283</v>
      </c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1372</v>
      </c>
      <c r="I424" s="141">
        <f t="shared" si="19"/>
        <v>28</v>
      </c>
      <c r="J424" s="146" t="s">
        <v>1995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1996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1997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1998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1999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1122</v>
      </c>
      <c r="B430" s="73" t="s">
        <v>1557</v>
      </c>
      <c r="C430" s="73" t="s">
        <v>1061</v>
      </c>
      <c r="D430" s="73" t="s">
        <v>1558</v>
      </c>
      <c r="E430" s="85" t="s">
        <v>1112</v>
      </c>
      <c r="F430" s="85" t="s">
        <v>1299</v>
      </c>
      <c r="G430" s="85"/>
      <c r="H430" s="85" t="s">
        <v>1560</v>
      </c>
      <c r="I430" s="31">
        <f t="shared" si="19"/>
        <v>24</v>
      </c>
      <c r="J430" s="146" t="s">
        <v>2000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2283</v>
      </c>
      <c r="S430" s="70"/>
      <c r="T430" s="70"/>
      <c r="U430" s="70" t="s">
        <v>2283</v>
      </c>
      <c r="V430" s="70" t="s">
        <v>2283</v>
      </c>
      <c r="W430" s="70" t="s">
        <v>2283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1122</v>
      </c>
      <c r="B431" s="73" t="s">
        <v>1556</v>
      </c>
      <c r="C431" s="73" t="s">
        <v>1061</v>
      </c>
      <c r="D431" s="73" t="s">
        <v>1559</v>
      </c>
      <c r="E431" s="85" t="s">
        <v>1112</v>
      </c>
      <c r="F431" s="85" t="s">
        <v>1299</v>
      </c>
      <c r="G431" s="85"/>
      <c r="H431" s="85" t="s">
        <v>1561</v>
      </c>
      <c r="I431" s="31">
        <f t="shared" si="19"/>
        <v>24</v>
      </c>
      <c r="J431" s="146" t="s">
        <v>2001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2283</v>
      </c>
      <c r="S431" s="70"/>
      <c r="T431" s="70"/>
      <c r="U431" s="70" t="s">
        <v>2283</v>
      </c>
      <c r="V431" s="70" t="s">
        <v>2283</v>
      </c>
      <c r="W431" s="70" t="s">
        <v>2283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1122</v>
      </c>
      <c r="B432" s="73" t="s">
        <v>2248</v>
      </c>
      <c r="C432" s="73" t="s">
        <v>1061</v>
      </c>
      <c r="D432" s="73" t="s">
        <v>2249</v>
      </c>
      <c r="E432" s="85" t="s">
        <v>1112</v>
      </c>
      <c r="F432" s="85"/>
      <c r="G432" s="85"/>
      <c r="H432" s="85" t="s">
        <v>2250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2283</v>
      </c>
      <c r="S432" s="70"/>
      <c r="T432" s="70"/>
      <c r="U432" s="70" t="s">
        <v>2283</v>
      </c>
      <c r="V432" s="70" t="s">
        <v>2283</v>
      </c>
      <c r="W432" s="70" t="s">
        <v>2283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2002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2003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2004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2005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1408</v>
      </c>
      <c r="I437" s="31">
        <f t="shared" si="19"/>
        <v>25</v>
      </c>
      <c r="J437" s="146" t="s">
        <v>2006</v>
      </c>
      <c r="K437" s="31">
        <f t="shared" si="20"/>
        <v>3</v>
      </c>
      <c r="L437" s="32">
        <f t="shared" si="21"/>
        <v>0.8928571428571429</v>
      </c>
      <c r="M437" s="70" t="s">
        <v>2283</v>
      </c>
      <c r="N437" s="70" t="s">
        <v>2283</v>
      </c>
      <c r="O437" s="70" t="s">
        <v>2283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1409</v>
      </c>
      <c r="I438" s="31">
        <f t="shared" si="19"/>
        <v>25</v>
      </c>
      <c r="J438" s="146" t="s">
        <v>2007</v>
      </c>
      <c r="K438" s="31">
        <f t="shared" si="20"/>
        <v>3</v>
      </c>
      <c r="L438" s="32">
        <f t="shared" si="21"/>
        <v>0.8928571428571429</v>
      </c>
      <c r="M438" s="70" t="s">
        <v>2283</v>
      </c>
      <c r="N438" s="70" t="s">
        <v>2283</v>
      </c>
      <c r="O438" s="70" t="s">
        <v>2283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1420</v>
      </c>
      <c r="I439" s="141">
        <f t="shared" si="19"/>
        <v>28</v>
      </c>
      <c r="J439" s="146" t="s">
        <v>2008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2009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2010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2011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2012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2283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1410</v>
      </c>
      <c r="I449" s="31">
        <f t="shared" si="19"/>
        <v>25</v>
      </c>
      <c r="J449" s="146" t="s">
        <v>2013</v>
      </c>
      <c r="K449" s="31">
        <f t="shared" si="20"/>
        <v>3</v>
      </c>
      <c r="L449" s="32">
        <f t="shared" si="21"/>
        <v>0.8928571428571429</v>
      </c>
      <c r="M449" s="70" t="s">
        <v>2283</v>
      </c>
      <c r="N449" s="70" t="s">
        <v>2283</v>
      </c>
      <c r="O449" s="70" t="s">
        <v>2283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1411</v>
      </c>
      <c r="I450" s="31">
        <f t="shared" si="19"/>
        <v>19</v>
      </c>
      <c r="J450" s="146" t="s">
        <v>2014</v>
      </c>
      <c r="K450" s="31">
        <f t="shared" si="20"/>
        <v>9</v>
      </c>
      <c r="L450" s="32">
        <f t="shared" si="21"/>
        <v>0.6785714285714286</v>
      </c>
      <c r="M450" s="70"/>
      <c r="N450" s="70" t="s">
        <v>2283</v>
      </c>
      <c r="O450" s="70" t="s">
        <v>2283</v>
      </c>
      <c r="P450" s="70" t="s">
        <v>2283</v>
      </c>
      <c r="Q450" s="70" t="s">
        <v>2283</v>
      </c>
      <c r="R450" s="70" t="s">
        <v>2283</v>
      </c>
      <c r="S450" s="70"/>
      <c r="T450" s="70"/>
      <c r="U450" s="70" t="s">
        <v>2283</v>
      </c>
      <c r="V450" s="70" t="s">
        <v>2283</v>
      </c>
      <c r="W450" s="70" t="s">
        <v>2283</v>
      </c>
      <c r="X450" s="70" t="s">
        <v>2283</v>
      </c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2015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2016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2017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2018</v>
      </c>
      <c r="K454" s="31">
        <f t="shared" si="20"/>
        <v>7</v>
      </c>
      <c r="L454" s="32">
        <f t="shared" si="21"/>
        <v>0.75</v>
      </c>
      <c r="M454" s="70" t="s">
        <v>2283</v>
      </c>
      <c r="N454" s="70" t="s">
        <v>2283</v>
      </c>
      <c r="O454" s="70" t="s">
        <v>2283</v>
      </c>
      <c r="P454" s="70" t="s">
        <v>2283</v>
      </c>
      <c r="Q454" s="70"/>
      <c r="R454" s="70" t="s">
        <v>2283</v>
      </c>
      <c r="S454" s="70"/>
      <c r="T454" s="70"/>
      <c r="U454" s="70" t="s">
        <v>2283</v>
      </c>
      <c r="V454" s="70" t="s">
        <v>2283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2019</v>
      </c>
      <c r="K455" s="31">
        <f t="shared" si="20"/>
        <v>7</v>
      </c>
      <c r="L455" s="32">
        <f t="shared" si="21"/>
        <v>0.75</v>
      </c>
      <c r="M455" s="70" t="s">
        <v>2283</v>
      </c>
      <c r="N455" s="70" t="s">
        <v>2283</v>
      </c>
      <c r="O455" s="70" t="s">
        <v>2283</v>
      </c>
      <c r="P455" s="70" t="s">
        <v>2283</v>
      </c>
      <c r="Q455" s="70"/>
      <c r="R455" s="70" t="s">
        <v>2283</v>
      </c>
      <c r="S455" s="70"/>
      <c r="T455" s="70"/>
      <c r="U455" s="70" t="s">
        <v>2283</v>
      </c>
      <c r="V455" s="70" t="s">
        <v>2283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2020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2021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1601</v>
      </c>
      <c r="B458" s="73" t="s">
        <v>1602</v>
      </c>
      <c r="C458" s="73" t="s">
        <v>1061</v>
      </c>
      <c r="D458" s="145" t="s">
        <v>1603</v>
      </c>
      <c r="E458" s="85" t="s">
        <v>15</v>
      </c>
      <c r="F458" s="85" t="s">
        <v>1299</v>
      </c>
      <c r="G458" s="85"/>
      <c r="H458" s="85" t="s">
        <v>1604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1601</v>
      </c>
      <c r="B459" s="73" t="s">
        <v>1613</v>
      </c>
      <c r="C459" s="73" t="s">
        <v>1061</v>
      </c>
      <c r="D459" s="145" t="s">
        <v>1614</v>
      </c>
      <c r="E459" s="85" t="s">
        <v>19</v>
      </c>
      <c r="F459" s="85" t="s">
        <v>1299</v>
      </c>
      <c r="G459" s="85"/>
      <c r="H459" s="85" t="s">
        <v>1615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1607</v>
      </c>
      <c r="B460" s="73" t="s">
        <v>1606</v>
      </c>
      <c r="C460" s="73" t="s">
        <v>1061</v>
      </c>
      <c r="D460" s="145" t="s">
        <v>1608</v>
      </c>
      <c r="E460" s="85" t="s">
        <v>73</v>
      </c>
      <c r="F460" s="85" t="s">
        <v>1299</v>
      </c>
      <c r="G460" s="85"/>
      <c r="H460" s="85" t="s">
        <v>1609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1601</v>
      </c>
      <c r="B461" s="73" t="s">
        <v>1657</v>
      </c>
      <c r="C461" s="73" t="s">
        <v>1061</v>
      </c>
      <c r="D461" s="145" t="s">
        <v>1655</v>
      </c>
      <c r="E461" s="85" t="s">
        <v>73</v>
      </c>
      <c r="F461" s="85" t="s">
        <v>1299</v>
      </c>
      <c r="G461" s="85"/>
      <c r="H461" s="85" t="s">
        <v>1659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1601</v>
      </c>
      <c r="B462" s="73" t="s">
        <v>1658</v>
      </c>
      <c r="C462" s="73" t="s">
        <v>1061</v>
      </c>
      <c r="D462" s="145" t="s">
        <v>1656</v>
      </c>
      <c r="E462" s="85" t="s">
        <v>73</v>
      </c>
      <c r="F462" s="85" t="s">
        <v>1299</v>
      </c>
      <c r="G462" s="85"/>
      <c r="H462" s="85" t="s">
        <v>1660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1601</v>
      </c>
      <c r="B463" s="73" t="s">
        <v>2169</v>
      </c>
      <c r="C463" s="73" t="s">
        <v>1061</v>
      </c>
      <c r="D463" s="145" t="s">
        <v>2170</v>
      </c>
      <c r="E463" s="85"/>
      <c r="F463" s="85" t="s">
        <v>1299</v>
      </c>
      <c r="G463" s="85"/>
      <c r="H463" s="85" t="s">
        <v>2171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19</v>
      </c>
      <c r="J464" s="146" t="s">
        <v>2022</v>
      </c>
      <c r="K464" s="141">
        <f t="shared" si="20"/>
        <v>9</v>
      </c>
      <c r="L464" s="142">
        <f t="shared" si="21"/>
        <v>0.6785714285714286</v>
      </c>
      <c r="M464" s="70" t="s">
        <v>2283</v>
      </c>
      <c r="N464" s="70" t="s">
        <v>2283</v>
      </c>
      <c r="O464" s="70" t="s">
        <v>2283</v>
      </c>
      <c r="P464" s="70" t="s">
        <v>2283</v>
      </c>
      <c r="Q464" s="70" t="s">
        <v>2283</v>
      </c>
      <c r="R464" s="70" t="s">
        <v>2283</v>
      </c>
      <c r="S464" s="70"/>
      <c r="T464" s="70"/>
      <c r="U464" s="70" t="s">
        <v>2283</v>
      </c>
      <c r="V464" s="70" t="s">
        <v>2283</v>
      </c>
      <c r="W464" s="70" t="s">
        <v>2283</v>
      </c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18</v>
      </c>
      <c r="J465" s="146" t="s">
        <v>2023</v>
      </c>
      <c r="K465" s="141">
        <f t="shared" si="20"/>
        <v>10</v>
      </c>
      <c r="L465" s="142">
        <f t="shared" si="21"/>
        <v>0.6428571428571429</v>
      </c>
      <c r="M465" s="70" t="s">
        <v>2283</v>
      </c>
      <c r="N465" s="70" t="s">
        <v>2283</v>
      </c>
      <c r="O465" s="70" t="s">
        <v>2283</v>
      </c>
      <c r="P465" s="70" t="s">
        <v>2283</v>
      </c>
      <c r="Q465" s="70" t="s">
        <v>2283</v>
      </c>
      <c r="R465" s="70" t="s">
        <v>2283</v>
      </c>
      <c r="S465" s="70"/>
      <c r="T465" s="70"/>
      <c r="U465" s="70" t="s">
        <v>2283</v>
      </c>
      <c r="V465" s="70" t="s">
        <v>2283</v>
      </c>
      <c r="W465" s="70" t="s">
        <v>2283</v>
      </c>
      <c r="X465" s="70" t="s">
        <v>2283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18</v>
      </c>
      <c r="J466" s="87"/>
      <c r="K466" s="141">
        <f t="shared" si="20"/>
        <v>10</v>
      </c>
      <c r="L466" s="142">
        <f t="shared" si="21"/>
        <v>0.6428571428571429</v>
      </c>
      <c r="M466" s="70" t="s">
        <v>2283</v>
      </c>
      <c r="N466" s="70" t="s">
        <v>2283</v>
      </c>
      <c r="O466" s="70" t="s">
        <v>2283</v>
      </c>
      <c r="P466" s="70" t="s">
        <v>2283</v>
      </c>
      <c r="Q466" s="70" t="s">
        <v>2283</v>
      </c>
      <c r="R466" s="70" t="s">
        <v>2283</v>
      </c>
      <c r="S466" s="70"/>
      <c r="T466" s="70"/>
      <c r="U466" s="70" t="s">
        <v>2283</v>
      </c>
      <c r="V466" s="70" t="s">
        <v>2283</v>
      </c>
      <c r="W466" s="70" t="s">
        <v>2283</v>
      </c>
      <c r="X466" s="70" t="s">
        <v>2283</v>
      </c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2138</v>
      </c>
      <c r="C467" t="s">
        <v>1060</v>
      </c>
      <c r="D467" s="73" t="s">
        <v>2139</v>
      </c>
      <c r="E467" s="85" t="s">
        <v>15</v>
      </c>
      <c r="F467" s="85" t="s">
        <v>1299</v>
      </c>
      <c r="G467" s="85"/>
      <c r="H467" s="85" t="s">
        <v>2140</v>
      </c>
      <c r="I467" s="141">
        <f t="shared" si="19"/>
        <v>28</v>
      </c>
      <c r="J467" s="151" t="s">
        <v>2141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2282</v>
      </c>
      <c r="C468" t="s">
        <v>1060</v>
      </c>
      <c r="D468" s="73" t="s">
        <v>2305</v>
      </c>
      <c r="E468" s="85" t="s">
        <v>73</v>
      </c>
      <c r="F468" s="85"/>
      <c r="G468" s="85"/>
      <c r="H468" s="85"/>
      <c r="I468" s="141">
        <f t="shared" si="19"/>
        <v>18</v>
      </c>
      <c r="J468" s="151"/>
      <c r="K468" s="141">
        <f t="shared" si="20"/>
        <v>10</v>
      </c>
      <c r="L468" s="142">
        <f t="shared" si="21"/>
        <v>0.6428571428571429</v>
      </c>
      <c r="M468" s="70" t="s">
        <v>2283</v>
      </c>
      <c r="N468" s="70" t="s">
        <v>2283</v>
      </c>
      <c r="O468" s="70" t="s">
        <v>2283</v>
      </c>
      <c r="P468" s="70" t="s">
        <v>2283</v>
      </c>
      <c r="Q468" s="70" t="s">
        <v>2283</v>
      </c>
      <c r="R468" s="70" t="s">
        <v>2283</v>
      </c>
      <c r="S468" s="70"/>
      <c r="T468" s="70"/>
      <c r="U468" s="70" t="s">
        <v>2283</v>
      </c>
      <c r="V468" s="70" t="s">
        <v>2283</v>
      </c>
      <c r="W468" s="70" t="s">
        <v>2283</v>
      </c>
      <c r="X468" s="70" t="s">
        <v>2283</v>
      </c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2024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2283</v>
      </c>
      <c r="V469" s="70"/>
      <c r="W469" s="70" t="s">
        <v>2283</v>
      </c>
      <c r="X469" s="70" t="s">
        <v>2283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1060</v>
      </c>
      <c r="D470" t="s">
        <v>1611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18</v>
      </c>
      <c r="J470" s="146" t="s">
        <v>2025</v>
      </c>
      <c r="K470" s="31">
        <f t="shared" si="20"/>
        <v>10</v>
      </c>
      <c r="L470" s="32">
        <f t="shared" si="21"/>
        <v>0.6428571428571429</v>
      </c>
      <c r="M470" s="70" t="s">
        <v>2283</v>
      </c>
      <c r="N470" s="70" t="s">
        <v>2283</v>
      </c>
      <c r="O470" s="70" t="s">
        <v>2283</v>
      </c>
      <c r="P470" s="70" t="s">
        <v>2283</v>
      </c>
      <c r="Q470" s="70" t="s">
        <v>2283</v>
      </c>
      <c r="R470" s="70" t="s">
        <v>2283</v>
      </c>
      <c r="S470" s="70"/>
      <c r="T470" s="70"/>
      <c r="U470" s="70" t="s">
        <v>2283</v>
      </c>
      <c r="V470" s="70" t="s">
        <v>2283</v>
      </c>
      <c r="W470" s="70" t="s">
        <v>2283</v>
      </c>
      <c r="X470" s="70" t="s">
        <v>2283</v>
      </c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2026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2027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2028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2029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2030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2031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2032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2033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2034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2035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2036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2037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1350</v>
      </c>
      <c r="C483" s="73" t="s">
        <v>1060</v>
      </c>
      <c r="D483" s="145" t="s">
        <v>1357</v>
      </c>
      <c r="E483" s="73" t="s">
        <v>15</v>
      </c>
      <c r="F483" s="73" t="s">
        <v>1299</v>
      </c>
      <c r="H483" s="85" t="s">
        <v>1419</v>
      </c>
      <c r="I483" s="87">
        <f t="shared" si="22"/>
        <v>28</v>
      </c>
      <c r="J483" s="146" t="s">
        <v>2038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1605</v>
      </c>
      <c r="C484" s="73" t="s">
        <v>1060</v>
      </c>
      <c r="D484" s="145" t="s">
        <v>1610</v>
      </c>
      <c r="E484" s="73" t="s">
        <v>15</v>
      </c>
      <c r="F484" s="73" t="s">
        <v>1299</v>
      </c>
      <c r="H484" s="85" t="s">
        <v>1612</v>
      </c>
      <c r="I484" s="87">
        <f t="shared" si="22"/>
        <v>28</v>
      </c>
      <c r="J484" s="87" t="s">
        <v>2161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1623</v>
      </c>
      <c r="C485" s="73" t="s">
        <v>1060</v>
      </c>
      <c r="D485" s="145" t="s">
        <v>1616</v>
      </c>
      <c r="E485" s="73" t="s">
        <v>19</v>
      </c>
      <c r="F485" s="73" t="s">
        <v>1299</v>
      </c>
      <c r="H485" s="85" t="s">
        <v>1624</v>
      </c>
      <c r="I485" s="87">
        <f t="shared" si="22"/>
        <v>28</v>
      </c>
      <c r="J485" s="87" t="s">
        <v>2162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1618</v>
      </c>
      <c r="C486" s="73" t="s">
        <v>1060</v>
      </c>
      <c r="D486" s="145" t="s">
        <v>1617</v>
      </c>
      <c r="E486" s="73" t="s">
        <v>1112</v>
      </c>
      <c r="F486" s="73" t="s">
        <v>1299</v>
      </c>
      <c r="H486" s="85" t="s">
        <v>1622</v>
      </c>
      <c r="I486" s="87">
        <f t="shared" si="22"/>
        <v>28</v>
      </c>
      <c r="J486" s="87" t="s">
        <v>2163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1619</v>
      </c>
      <c r="C487" s="73" t="s">
        <v>1060</v>
      </c>
      <c r="D487" s="145" t="s">
        <v>1620</v>
      </c>
      <c r="E487" s="73" t="s">
        <v>1112</v>
      </c>
      <c r="F487" s="73" t="s">
        <v>1299</v>
      </c>
      <c r="H487" s="85" t="s">
        <v>1621</v>
      </c>
      <c r="I487" s="87">
        <f t="shared" si="22"/>
        <v>28</v>
      </c>
      <c r="J487" s="87" t="s">
        <v>2164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2294</v>
      </c>
      <c r="C488" s="73" t="s">
        <v>1060</v>
      </c>
      <c r="D488" s="145" t="s">
        <v>2295</v>
      </c>
      <c r="E488" s="30" t="s">
        <v>15</v>
      </c>
      <c r="F488" s="73" t="s">
        <v>1299</v>
      </c>
      <c r="H488" s="85" t="s">
        <v>2320</v>
      </c>
      <c r="I488" s="87">
        <f t="shared" si="22"/>
        <v>28</v>
      </c>
      <c r="J488" s="151" t="s">
        <v>2321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2039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2040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2283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2041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2042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2043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2044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2045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2046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2047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1061</v>
      </c>
      <c r="D503" t="s">
        <v>2251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2048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24</v>
      </c>
      <c r="J504" s="146" t="s">
        <v>2049</v>
      </c>
      <c r="K504" s="31">
        <f t="shared" si="23"/>
        <v>4</v>
      </c>
      <c r="L504" s="32">
        <f t="shared" si="24"/>
        <v>0.8571428571428571</v>
      </c>
      <c r="M504" s="70"/>
      <c r="N504" s="70"/>
      <c r="O504" s="70"/>
      <c r="P504" s="70"/>
      <c r="Q504" s="70"/>
      <c r="R504" s="70"/>
      <c r="S504" s="70"/>
      <c r="T504" s="70"/>
      <c r="U504" s="70" t="s">
        <v>2283</v>
      </c>
      <c r="V504" s="70" t="s">
        <v>2283</v>
      </c>
      <c r="W504" s="70" t="s">
        <v>2283</v>
      </c>
      <c r="X504" s="70" t="s">
        <v>2283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24</v>
      </c>
      <c r="J505" s="146" t="s">
        <v>2050</v>
      </c>
      <c r="K505" s="31">
        <f t="shared" si="23"/>
        <v>4</v>
      </c>
      <c r="L505" s="32">
        <f t="shared" si="24"/>
        <v>0.8571428571428571</v>
      </c>
      <c r="M505" s="70"/>
      <c r="N505" s="70"/>
      <c r="O505" s="70"/>
      <c r="P505" s="70"/>
      <c r="Q505" s="70"/>
      <c r="R505" s="70"/>
      <c r="S505" s="70"/>
      <c r="T505" s="70"/>
      <c r="U505" s="70" t="s">
        <v>2283</v>
      </c>
      <c r="V505" s="70" t="s">
        <v>2283</v>
      </c>
      <c r="W505" s="70" t="s">
        <v>2283</v>
      </c>
      <c r="X505" s="70" t="s">
        <v>2283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2051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1501</v>
      </c>
      <c r="I507" s="141">
        <f t="shared" si="22"/>
        <v>28</v>
      </c>
      <c r="J507" s="146" t="s">
        <v>2052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2053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2054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2055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2056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23</v>
      </c>
      <c r="J512" s="146" t="s">
        <v>2057</v>
      </c>
      <c r="K512" s="31">
        <f t="shared" si="23"/>
        <v>5</v>
      </c>
      <c r="L512" s="32">
        <f t="shared" si="24"/>
        <v>0.8214285714285714</v>
      </c>
      <c r="M512" s="70"/>
      <c r="N512" s="70"/>
      <c r="O512" s="70"/>
      <c r="P512" s="70"/>
      <c r="Q512" s="70"/>
      <c r="R512" s="70" t="s">
        <v>2283</v>
      </c>
      <c r="S512" s="70"/>
      <c r="T512" s="70"/>
      <c r="U512" s="70" t="s">
        <v>2283</v>
      </c>
      <c r="V512" s="70" t="s">
        <v>2283</v>
      </c>
      <c r="W512" s="70" t="s">
        <v>2283</v>
      </c>
      <c r="X512" s="70" t="s">
        <v>2283</v>
      </c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2058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2059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26</v>
      </c>
      <c r="J515" s="146" t="s">
        <v>2060</v>
      </c>
      <c r="K515" s="31">
        <f t="shared" si="23"/>
        <v>2</v>
      </c>
      <c r="L515" s="32">
        <f t="shared" si="24"/>
        <v>0.9285714285714286</v>
      </c>
      <c r="M515" s="70" t="s">
        <v>2283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2283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2061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2062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2283</v>
      </c>
      <c r="V517" s="70" t="s">
        <v>2283</v>
      </c>
      <c r="W517" s="70" t="s">
        <v>2283</v>
      </c>
      <c r="X517" s="70" t="s">
        <v>2283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2063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18</v>
      </c>
      <c r="J519" s="146" t="s">
        <v>2064</v>
      </c>
      <c r="K519" s="31">
        <f t="shared" si="23"/>
        <v>10</v>
      </c>
      <c r="L519" s="32">
        <f t="shared" si="24"/>
        <v>0.6428571428571429</v>
      </c>
      <c r="M519" s="70" t="s">
        <v>2283</v>
      </c>
      <c r="N519" s="70" t="s">
        <v>2283</v>
      </c>
      <c r="O519" s="70" t="s">
        <v>2283</v>
      </c>
      <c r="P519" s="70" t="s">
        <v>2283</v>
      </c>
      <c r="Q519" s="70" t="s">
        <v>2283</v>
      </c>
      <c r="R519" s="70" t="s">
        <v>2283</v>
      </c>
      <c r="S519" s="70"/>
      <c r="T519" s="70"/>
      <c r="U519" s="70" t="s">
        <v>2283</v>
      </c>
      <c r="V519" s="70" t="s">
        <v>2283</v>
      </c>
      <c r="W519" s="70" t="s">
        <v>2283</v>
      </c>
      <c r="X519" s="70" t="s">
        <v>2283</v>
      </c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24</v>
      </c>
      <c r="J520" s="146" t="s">
        <v>2065</v>
      </c>
      <c r="K520" s="31">
        <f t="shared" si="23"/>
        <v>4</v>
      </c>
      <c r="L520" s="32">
        <f t="shared" si="24"/>
        <v>0.8571428571428571</v>
      </c>
      <c r="M520" s="70"/>
      <c r="N520" s="70"/>
      <c r="O520" s="70"/>
      <c r="P520" s="70"/>
      <c r="Q520" s="70"/>
      <c r="R520" s="70"/>
      <c r="S520" s="70"/>
      <c r="T520" s="70"/>
      <c r="U520" s="70" t="s">
        <v>2283</v>
      </c>
      <c r="V520" s="70" t="s">
        <v>2283</v>
      </c>
      <c r="W520" s="70" t="s">
        <v>2283</v>
      </c>
      <c r="X520" s="70" t="s">
        <v>2283</v>
      </c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1364</v>
      </c>
      <c r="I522" s="141">
        <f t="shared" si="22"/>
        <v>28</v>
      </c>
      <c r="J522" s="146" t="s">
        <v>2066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24</v>
      </c>
      <c r="J523" s="146" t="s">
        <v>2067</v>
      </c>
      <c r="K523" s="31">
        <f t="shared" si="23"/>
        <v>4</v>
      </c>
      <c r="L523" s="32">
        <f t="shared" si="24"/>
        <v>0.8571428571428571</v>
      </c>
      <c r="M523" s="70"/>
      <c r="N523" s="70"/>
      <c r="O523" s="70"/>
      <c r="P523" s="70"/>
      <c r="Q523" s="70"/>
      <c r="R523" s="70"/>
      <c r="S523" s="70"/>
      <c r="T523" s="70"/>
      <c r="U523" s="70" t="s">
        <v>2283</v>
      </c>
      <c r="V523" s="70" t="s">
        <v>2283</v>
      </c>
      <c r="W523" s="70" t="s">
        <v>2283</v>
      </c>
      <c r="X523" s="70" t="s">
        <v>2283</v>
      </c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24</v>
      </c>
      <c r="J524" s="146" t="s">
        <v>2068</v>
      </c>
      <c r="K524" s="31">
        <f t="shared" si="23"/>
        <v>4</v>
      </c>
      <c r="L524" s="32">
        <f t="shared" si="24"/>
        <v>0.8571428571428571</v>
      </c>
      <c r="M524" s="70"/>
      <c r="N524" s="70"/>
      <c r="O524" s="70"/>
      <c r="P524" s="70"/>
      <c r="Q524" s="70"/>
      <c r="R524" s="70"/>
      <c r="S524" s="70"/>
      <c r="T524" s="70"/>
      <c r="U524" s="70" t="s">
        <v>2283</v>
      </c>
      <c r="V524" s="70" t="s">
        <v>2283</v>
      </c>
      <c r="W524" s="70" t="s">
        <v>2283</v>
      </c>
      <c r="X524" s="70" t="s">
        <v>2283</v>
      </c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2069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2070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2071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2072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18</v>
      </c>
      <c r="J529" s="146" t="s">
        <v>2073</v>
      </c>
      <c r="K529" s="141">
        <f t="shared" si="23"/>
        <v>10</v>
      </c>
      <c r="L529" s="142">
        <f t="shared" si="24"/>
        <v>0.6428571428571429</v>
      </c>
      <c r="M529" s="70" t="s">
        <v>2283</v>
      </c>
      <c r="N529" s="70" t="s">
        <v>2283</v>
      </c>
      <c r="O529" s="70" t="s">
        <v>2283</v>
      </c>
      <c r="P529" s="70" t="s">
        <v>2283</v>
      </c>
      <c r="Q529" s="70" t="s">
        <v>2283</v>
      </c>
      <c r="R529" s="70" t="s">
        <v>2283</v>
      </c>
      <c r="S529" s="70"/>
      <c r="T529" s="70"/>
      <c r="U529" s="70" t="s">
        <v>2283</v>
      </c>
      <c r="V529" s="70" t="s">
        <v>2283</v>
      </c>
      <c r="W529" s="70" t="s">
        <v>2283</v>
      </c>
      <c r="X529" s="70" t="s">
        <v>2283</v>
      </c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1529</v>
      </c>
      <c r="C530" s="30" t="s">
        <v>1061</v>
      </c>
      <c r="D530" t="s">
        <v>1530</v>
      </c>
      <c r="E530" s="30" t="s">
        <v>1112</v>
      </c>
      <c r="F530" s="30" t="s">
        <v>28</v>
      </c>
      <c r="G530" s="30"/>
      <c r="H530" s="30" t="s">
        <v>1531</v>
      </c>
      <c r="I530" s="141">
        <f t="shared" si="22"/>
        <v>28</v>
      </c>
      <c r="J530" s="146" t="s">
        <v>2074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1580</v>
      </c>
      <c r="C531" s="85" t="s">
        <v>1061</v>
      </c>
      <c r="D531" s="73" t="s">
        <v>1581</v>
      </c>
      <c r="E531" s="85" t="s">
        <v>15</v>
      </c>
      <c r="F531" s="85" t="s">
        <v>1299</v>
      </c>
      <c r="G531" s="85"/>
      <c r="H531" s="85" t="s">
        <v>1582</v>
      </c>
      <c r="I531" s="141">
        <f t="shared" si="22"/>
        <v>28</v>
      </c>
      <c r="J531" s="146" t="s">
        <v>2075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1583</v>
      </c>
      <c r="C532" s="85" t="s">
        <v>1061</v>
      </c>
      <c r="D532" s="73" t="s">
        <v>1584</v>
      </c>
      <c r="E532" s="85" t="s">
        <v>15</v>
      </c>
      <c r="F532" s="85" t="s">
        <v>1299</v>
      </c>
      <c r="G532" s="85"/>
      <c r="H532" s="85" t="s">
        <v>1585</v>
      </c>
      <c r="I532" s="141">
        <f t="shared" si="22"/>
        <v>28</v>
      </c>
      <c r="J532" s="146" t="s">
        <v>2076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2221</v>
      </c>
      <c r="C533" s="85" t="s">
        <v>1061</v>
      </c>
      <c r="D533" s="73" t="s">
        <v>2222</v>
      </c>
      <c r="E533" s="30" t="s">
        <v>73</v>
      </c>
      <c r="F533" s="85" t="s">
        <v>1299</v>
      </c>
      <c r="G533" s="85"/>
      <c r="H533" s="85" t="s">
        <v>2223</v>
      </c>
      <c r="I533" s="141">
        <f t="shared" si="22"/>
        <v>28</v>
      </c>
      <c r="J533" s="146" t="s">
        <v>2224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2225</v>
      </c>
      <c r="C534" s="85" t="s">
        <v>1061</v>
      </c>
      <c r="D534" s="73" t="s">
        <v>2226</v>
      </c>
      <c r="E534" s="85" t="s">
        <v>15</v>
      </c>
      <c r="F534" s="85" t="s">
        <v>1299</v>
      </c>
      <c r="G534" s="85"/>
      <c r="H534" s="85" t="s">
        <v>2227</v>
      </c>
      <c r="I534" s="141">
        <f t="shared" si="22"/>
        <v>28</v>
      </c>
      <c r="J534" s="146" t="s">
        <v>2228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2077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2078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2079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2080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2081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2082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1503</v>
      </c>
      <c r="I542" s="31">
        <f t="shared" si="22"/>
        <v>28</v>
      </c>
      <c r="J542" s="146" t="s">
        <v>2083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1349</v>
      </c>
      <c r="I543" s="141">
        <f t="shared" si="22"/>
        <v>28</v>
      </c>
      <c r="J543" s="146" t="s">
        <v>2084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2085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1367</v>
      </c>
      <c r="I545" s="141">
        <f t="shared" ref="I545:I591" si="25">COUNTIF(M545:AN545,"")</f>
        <v>23</v>
      </c>
      <c r="J545" s="146" t="s">
        <v>2086</v>
      </c>
      <c r="K545" s="141">
        <f t="shared" ref="K545:K591" si="26">COUNTIF(M545:AN545,"APAGADO")</f>
        <v>5</v>
      </c>
      <c r="L545" s="142">
        <f t="shared" ref="L545:L591" si="27">(I545)/(K545+I545)</f>
        <v>0.8214285714285714</v>
      </c>
      <c r="M545" s="70"/>
      <c r="N545" s="70"/>
      <c r="O545" s="70"/>
      <c r="P545" s="70"/>
      <c r="Q545" s="70"/>
      <c r="R545" s="70" t="s">
        <v>2283</v>
      </c>
      <c r="S545" s="70"/>
      <c r="T545" s="70"/>
      <c r="U545" s="70" t="s">
        <v>2283</v>
      </c>
      <c r="V545" s="70" t="s">
        <v>2283</v>
      </c>
      <c r="W545" s="70" t="s">
        <v>2283</v>
      </c>
      <c r="X545" s="70" t="s">
        <v>2283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1425</v>
      </c>
      <c r="I546" s="141">
        <f t="shared" si="25"/>
        <v>28</v>
      </c>
      <c r="J546" s="146" t="s">
        <v>2087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2088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1502</v>
      </c>
      <c r="I548" s="141">
        <f t="shared" si="25"/>
        <v>28</v>
      </c>
      <c r="J548" s="146" t="s">
        <v>2089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1310</v>
      </c>
      <c r="C549" t="s">
        <v>1060</v>
      </c>
      <c r="D549" t="s">
        <v>2193</v>
      </c>
      <c r="E549" s="85" t="s">
        <v>15</v>
      </c>
      <c r="F549" s="85" t="s">
        <v>1299</v>
      </c>
      <c r="G549" s="30"/>
      <c r="H549" s="30" t="s">
        <v>2194</v>
      </c>
      <c r="I549" s="31">
        <f t="shared" si="25"/>
        <v>28</v>
      </c>
      <c r="J549" s="146" t="s">
        <v>2195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2129</v>
      </c>
      <c r="C550" t="s">
        <v>1060</v>
      </c>
      <c r="D550" s="73" t="s">
        <v>2130</v>
      </c>
      <c r="E550" s="85" t="s">
        <v>15</v>
      </c>
      <c r="F550" s="85" t="s">
        <v>1299</v>
      </c>
      <c r="G550" s="30"/>
      <c r="H550" s="30" t="s">
        <v>2131</v>
      </c>
      <c r="I550" s="31">
        <f t="shared" si="25"/>
        <v>28</v>
      </c>
      <c r="J550" s="146" t="s">
        <v>2132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28</v>
      </c>
      <c r="J551" s="146" t="s">
        <v>2090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1460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2091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2092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2093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1639</v>
      </c>
      <c r="C555" s="73" t="s">
        <v>1061</v>
      </c>
      <c r="D555" s="73" t="s">
        <v>1646</v>
      </c>
      <c r="E555" s="85" t="s">
        <v>1112</v>
      </c>
      <c r="F555" s="85" t="s">
        <v>28</v>
      </c>
      <c r="G555" s="85"/>
      <c r="H555" s="85" t="s">
        <v>1641</v>
      </c>
      <c r="I555" s="141">
        <f t="shared" si="25"/>
        <v>28</v>
      </c>
      <c r="J555" s="87" t="s">
        <v>2183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2123</v>
      </c>
      <c r="C556" s="73" t="s">
        <v>1061</v>
      </c>
      <c r="D556" s="73" t="s">
        <v>2124</v>
      </c>
      <c r="E556" s="30" t="s">
        <v>15</v>
      </c>
      <c r="F556" s="85" t="s">
        <v>1299</v>
      </c>
      <c r="G556" s="85"/>
      <c r="H556" s="85" t="s">
        <v>2126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2283</v>
      </c>
      <c r="N556" s="70" t="s">
        <v>2283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1652</v>
      </c>
      <c r="C557" s="73" t="s">
        <v>1061</v>
      </c>
      <c r="D557" s="73" t="s">
        <v>1653</v>
      </c>
      <c r="E557" s="85" t="s">
        <v>15</v>
      </c>
      <c r="F557" s="85" t="s">
        <v>1299</v>
      </c>
      <c r="G557" s="85"/>
      <c r="H557" s="85" t="s">
        <v>1654</v>
      </c>
      <c r="I557" s="141">
        <f t="shared" si="25"/>
        <v>19</v>
      </c>
      <c r="J557" s="87" t="s">
        <v>2184</v>
      </c>
      <c r="K557" s="141">
        <f t="shared" si="26"/>
        <v>9</v>
      </c>
      <c r="L557" s="142">
        <f t="shared" si="27"/>
        <v>0.6785714285714286</v>
      </c>
      <c r="M557" s="70" t="s">
        <v>2283</v>
      </c>
      <c r="N557" s="70" t="s">
        <v>2283</v>
      </c>
      <c r="O557" s="70"/>
      <c r="P557" s="70" t="s">
        <v>2283</v>
      </c>
      <c r="Q557" s="70" t="s">
        <v>2283</v>
      </c>
      <c r="R557" s="70" t="s">
        <v>2283</v>
      </c>
      <c r="S557" s="70"/>
      <c r="T557" s="70"/>
      <c r="U557" s="70" t="s">
        <v>2283</v>
      </c>
      <c r="V557" s="70" t="s">
        <v>2283</v>
      </c>
      <c r="W557" s="70" t="s">
        <v>2283</v>
      </c>
      <c r="X557" s="70" t="s">
        <v>2283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18</v>
      </c>
      <c r="J558" s="87" t="s">
        <v>2180</v>
      </c>
      <c r="K558" s="31">
        <f t="shared" si="26"/>
        <v>10</v>
      </c>
      <c r="L558" s="32">
        <f t="shared" si="27"/>
        <v>0.6428571428571429</v>
      </c>
      <c r="M558" s="70" t="s">
        <v>2283</v>
      </c>
      <c r="N558" s="70" t="s">
        <v>2283</v>
      </c>
      <c r="O558" s="70" t="s">
        <v>2283</v>
      </c>
      <c r="P558" s="70" t="s">
        <v>2283</v>
      </c>
      <c r="Q558" s="70" t="s">
        <v>2283</v>
      </c>
      <c r="R558" s="70" t="s">
        <v>2283</v>
      </c>
      <c r="S558" s="70"/>
      <c r="T558" s="70"/>
      <c r="U558" s="70" t="s">
        <v>2283</v>
      </c>
      <c r="V558" s="70" t="s">
        <v>2283</v>
      </c>
      <c r="W558" s="70" t="s">
        <v>2283</v>
      </c>
      <c r="X558" s="70" t="s">
        <v>2283</v>
      </c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2094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18</v>
      </c>
      <c r="J560" s="87" t="s">
        <v>2181</v>
      </c>
      <c r="K560" s="31">
        <f t="shared" si="26"/>
        <v>10</v>
      </c>
      <c r="L560" s="32">
        <f t="shared" si="27"/>
        <v>0.6428571428571429</v>
      </c>
      <c r="M560" s="70" t="s">
        <v>2283</v>
      </c>
      <c r="N560" s="70" t="s">
        <v>2283</v>
      </c>
      <c r="O560" s="70" t="s">
        <v>2283</v>
      </c>
      <c r="P560" s="70" t="s">
        <v>2283</v>
      </c>
      <c r="Q560" s="70" t="s">
        <v>2283</v>
      </c>
      <c r="R560" s="70" t="s">
        <v>2283</v>
      </c>
      <c r="S560" s="70"/>
      <c r="T560" s="70"/>
      <c r="U560" s="70" t="s">
        <v>2283</v>
      </c>
      <c r="V560" s="70" t="s">
        <v>2283</v>
      </c>
      <c r="W560" s="70" t="s">
        <v>2283</v>
      </c>
      <c r="X560" s="70" t="s">
        <v>2283</v>
      </c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2095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2096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2135</v>
      </c>
      <c r="B563" s="73" t="s">
        <v>2133</v>
      </c>
      <c r="C563" t="s">
        <v>1060</v>
      </c>
      <c r="D563" s="73" t="s">
        <v>2134</v>
      </c>
      <c r="E563" s="85" t="s">
        <v>15</v>
      </c>
      <c r="F563" s="85" t="s">
        <v>1299</v>
      </c>
      <c r="G563" s="85"/>
      <c r="H563" s="85" t="s">
        <v>2136</v>
      </c>
      <c r="I563" s="141">
        <f t="shared" si="25"/>
        <v>28</v>
      </c>
      <c r="J563" s="150" t="s">
        <v>2137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1395</v>
      </c>
      <c r="I564" s="31">
        <f t="shared" si="25"/>
        <v>28</v>
      </c>
      <c r="J564" s="87" t="s">
        <v>2182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2097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2098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2099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18</v>
      </c>
      <c r="J568" s="146" t="s">
        <v>2100</v>
      </c>
      <c r="K568" s="31">
        <f t="shared" si="26"/>
        <v>10</v>
      </c>
      <c r="L568" s="32">
        <f t="shared" si="27"/>
        <v>0.6428571428571429</v>
      </c>
      <c r="M568" s="70" t="s">
        <v>2283</v>
      </c>
      <c r="N568" s="70" t="s">
        <v>2283</v>
      </c>
      <c r="O568" s="70" t="s">
        <v>2283</v>
      </c>
      <c r="P568" s="70" t="s">
        <v>2283</v>
      </c>
      <c r="Q568" s="70" t="s">
        <v>2283</v>
      </c>
      <c r="R568" s="70" t="s">
        <v>2283</v>
      </c>
      <c r="S568" s="70"/>
      <c r="T568" s="70"/>
      <c r="U568" s="70" t="s">
        <v>2283</v>
      </c>
      <c r="V568" s="70" t="s">
        <v>2283</v>
      </c>
      <c r="W568" s="70" t="s">
        <v>2283</v>
      </c>
      <c r="X568" s="70" t="s">
        <v>2283</v>
      </c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18</v>
      </c>
      <c r="J569" s="146" t="s">
        <v>2101</v>
      </c>
      <c r="K569" s="31">
        <f t="shared" si="26"/>
        <v>10</v>
      </c>
      <c r="L569" s="32">
        <f t="shared" si="27"/>
        <v>0.6428571428571429</v>
      </c>
      <c r="M569" s="70" t="s">
        <v>2283</v>
      </c>
      <c r="N569" s="70" t="s">
        <v>2283</v>
      </c>
      <c r="O569" s="70" t="s">
        <v>2283</v>
      </c>
      <c r="P569" s="70" t="s">
        <v>2283</v>
      </c>
      <c r="Q569" s="70" t="s">
        <v>2283</v>
      </c>
      <c r="R569" s="70" t="s">
        <v>2283</v>
      </c>
      <c r="S569" s="70"/>
      <c r="T569" s="70"/>
      <c r="U569" s="70" t="s">
        <v>2283</v>
      </c>
      <c r="V569" s="70" t="s">
        <v>2283</v>
      </c>
      <c r="W569" s="70" t="s">
        <v>2283</v>
      </c>
      <c r="X569" s="70" t="s">
        <v>2283</v>
      </c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18</v>
      </c>
      <c r="J570" s="146" t="s">
        <v>2102</v>
      </c>
      <c r="K570" s="31">
        <f t="shared" si="26"/>
        <v>10</v>
      </c>
      <c r="L570" s="32">
        <f t="shared" si="27"/>
        <v>0.6428571428571429</v>
      </c>
      <c r="M570" s="70" t="s">
        <v>2283</v>
      </c>
      <c r="N570" s="70" t="s">
        <v>2283</v>
      </c>
      <c r="O570" s="70" t="s">
        <v>2283</v>
      </c>
      <c r="P570" s="70" t="s">
        <v>2283</v>
      </c>
      <c r="Q570" s="70" t="s">
        <v>2283</v>
      </c>
      <c r="R570" s="70" t="s">
        <v>2283</v>
      </c>
      <c r="S570" s="70"/>
      <c r="T570" s="70"/>
      <c r="U570" s="70" t="s">
        <v>2283</v>
      </c>
      <c r="V570" s="70" t="s">
        <v>2283</v>
      </c>
      <c r="W570" s="70" t="s">
        <v>2283</v>
      </c>
      <c r="X570" s="70" t="s">
        <v>2283</v>
      </c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18</v>
      </c>
      <c r="J571" s="146" t="s">
        <v>2103</v>
      </c>
      <c r="K571" s="31">
        <f t="shared" si="26"/>
        <v>10</v>
      </c>
      <c r="L571" s="32">
        <f t="shared" si="27"/>
        <v>0.6428571428571429</v>
      </c>
      <c r="M571" s="70" t="s">
        <v>2283</v>
      </c>
      <c r="N571" s="70" t="s">
        <v>2283</v>
      </c>
      <c r="O571" s="70" t="s">
        <v>2283</v>
      </c>
      <c r="P571" s="70" t="s">
        <v>2283</v>
      </c>
      <c r="Q571" s="70" t="s">
        <v>2283</v>
      </c>
      <c r="R571" s="70" t="s">
        <v>2283</v>
      </c>
      <c r="S571" s="70"/>
      <c r="T571" s="70"/>
      <c r="U571" s="70" t="s">
        <v>2283</v>
      </c>
      <c r="V571" s="70" t="s">
        <v>2283</v>
      </c>
      <c r="W571" s="70" t="s">
        <v>2283</v>
      </c>
      <c r="X571" s="70" t="s">
        <v>2283</v>
      </c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19</v>
      </c>
      <c r="J572" s="146" t="s">
        <v>2104</v>
      </c>
      <c r="K572" s="31">
        <f t="shared" si="26"/>
        <v>9</v>
      </c>
      <c r="L572" s="32">
        <f t="shared" si="27"/>
        <v>0.6785714285714286</v>
      </c>
      <c r="M572" s="70" t="s">
        <v>2283</v>
      </c>
      <c r="N572" s="70" t="s">
        <v>2283</v>
      </c>
      <c r="O572" s="70" t="s">
        <v>2283</v>
      </c>
      <c r="P572" s="70" t="s">
        <v>2283</v>
      </c>
      <c r="Q572" s="70" t="s">
        <v>2283</v>
      </c>
      <c r="R572" s="70" t="s">
        <v>2283</v>
      </c>
      <c r="S572" s="70"/>
      <c r="T572" s="70"/>
      <c r="U572" s="70"/>
      <c r="V572" s="70" t="s">
        <v>2283</v>
      </c>
      <c r="W572" s="70" t="s">
        <v>2283</v>
      </c>
      <c r="X572" s="70" t="s">
        <v>2283</v>
      </c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2198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2259</v>
      </c>
      <c r="C574" s="73" t="s">
        <v>1061</v>
      </c>
      <c r="D574" s="73" t="s">
        <v>2260</v>
      </c>
      <c r="E574" s="85" t="s">
        <v>15</v>
      </c>
      <c r="F574" s="85" t="s">
        <v>1299</v>
      </c>
      <c r="G574" s="85"/>
      <c r="H574" s="85" t="s">
        <v>2261</v>
      </c>
      <c r="I574" s="141">
        <f t="shared" si="25"/>
        <v>28</v>
      </c>
      <c r="J574" s="87" t="s">
        <v>2262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2272</v>
      </c>
      <c r="C575" s="73" t="s">
        <v>1061</v>
      </c>
      <c r="D575" s="73" t="s">
        <v>2273</v>
      </c>
      <c r="E575" s="85" t="s">
        <v>15</v>
      </c>
      <c r="F575" s="85"/>
      <c r="G575" s="85"/>
      <c r="H575" s="85" t="s">
        <v>2274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2199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2200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2283</v>
      </c>
      <c r="Q577" s="70" t="s">
        <v>2283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2201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2106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2105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2107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2176</v>
      </c>
      <c r="C582" s="73" t="s">
        <v>1060</v>
      </c>
      <c r="D582" t="s">
        <v>2177</v>
      </c>
      <c r="E582" s="85" t="s">
        <v>46</v>
      </c>
      <c r="F582" s="30" t="s">
        <v>28</v>
      </c>
      <c r="G582" s="30"/>
      <c r="H582" s="30" t="s">
        <v>2178</v>
      </c>
      <c r="I582" s="31">
        <f t="shared" si="25"/>
        <v>28</v>
      </c>
      <c r="J582" s="146" t="s">
        <v>2179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1368</v>
      </c>
      <c r="I583" s="141">
        <f t="shared" si="25"/>
        <v>28</v>
      </c>
      <c r="J583" s="146" t="s">
        <v>2108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1365</v>
      </c>
      <c r="I584" s="141">
        <f t="shared" si="25"/>
        <v>28</v>
      </c>
      <c r="J584" s="146" t="s">
        <v>2109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1504</v>
      </c>
      <c r="I585" s="141">
        <f t="shared" si="25"/>
        <v>28</v>
      </c>
      <c r="J585" s="146" t="s">
        <v>2110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1426</v>
      </c>
      <c r="I586" s="141">
        <f t="shared" si="25"/>
        <v>18</v>
      </c>
      <c r="J586" s="146" t="s">
        <v>2111</v>
      </c>
      <c r="K586" s="141">
        <f t="shared" si="26"/>
        <v>10</v>
      </c>
      <c r="L586" s="142">
        <f t="shared" si="27"/>
        <v>0.6428571428571429</v>
      </c>
      <c r="M586" s="70" t="s">
        <v>2283</v>
      </c>
      <c r="N586" s="70" t="s">
        <v>2283</v>
      </c>
      <c r="O586" s="70" t="s">
        <v>2283</v>
      </c>
      <c r="P586" s="70" t="s">
        <v>2283</v>
      </c>
      <c r="Q586" s="70" t="s">
        <v>2283</v>
      </c>
      <c r="R586" s="70" t="s">
        <v>2283</v>
      </c>
      <c r="S586" s="70"/>
      <c r="T586" s="70"/>
      <c r="U586" s="70" t="s">
        <v>2283</v>
      </c>
      <c r="V586" s="70" t="s">
        <v>2283</v>
      </c>
      <c r="W586" s="70" t="s">
        <v>2283</v>
      </c>
      <c r="X586" s="70" t="s">
        <v>2283</v>
      </c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1444</v>
      </c>
      <c r="C587" s="73" t="s">
        <v>1060</v>
      </c>
      <c r="D587" s="73" t="s">
        <v>1445</v>
      </c>
      <c r="E587" s="85" t="s">
        <v>46</v>
      </c>
      <c r="F587" s="85" t="s">
        <v>1299</v>
      </c>
      <c r="G587" s="85"/>
      <c r="H587" s="85" t="s">
        <v>1450</v>
      </c>
      <c r="I587" s="141">
        <f t="shared" si="25"/>
        <v>28</v>
      </c>
      <c r="J587" s="146" t="s">
        <v>2112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1447</v>
      </c>
      <c r="C588" s="73" t="s">
        <v>1060</v>
      </c>
      <c r="D588" s="73" t="s">
        <v>1446</v>
      </c>
      <c r="E588" s="85" t="s">
        <v>73</v>
      </c>
      <c r="F588" s="85" t="s">
        <v>1299</v>
      </c>
      <c r="G588" s="85"/>
      <c r="H588" s="85" t="s">
        <v>1451</v>
      </c>
      <c r="I588" s="141">
        <f t="shared" si="25"/>
        <v>28</v>
      </c>
      <c r="J588" s="146" t="s">
        <v>2113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1448</v>
      </c>
      <c r="C589" s="73" t="s">
        <v>1060</v>
      </c>
      <c r="D589" s="73" t="s">
        <v>1449</v>
      </c>
      <c r="E589" s="85" t="s">
        <v>73</v>
      </c>
      <c r="F589" s="85" t="s">
        <v>1299</v>
      </c>
      <c r="G589" s="85"/>
      <c r="H589" s="85" t="s">
        <v>1452</v>
      </c>
      <c r="I589" s="141">
        <f t="shared" si="25"/>
        <v>28</v>
      </c>
      <c r="J589" s="146" t="s">
        <v>2114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2115</v>
      </c>
      <c r="C590" s="73" t="s">
        <v>1060</v>
      </c>
      <c r="D590" s="73" t="s">
        <v>2116</v>
      </c>
      <c r="E590" s="85" t="s">
        <v>15</v>
      </c>
      <c r="F590" s="85" t="s">
        <v>1299</v>
      </c>
      <c r="G590" s="85"/>
      <c r="H590" s="85" t="s">
        <v>2117</v>
      </c>
      <c r="I590" s="141">
        <f t="shared" si="25"/>
        <v>28</v>
      </c>
      <c r="J590" s="150" t="s">
        <v>2118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2290</v>
      </c>
      <c r="C591" s="73" t="s">
        <v>1060</v>
      </c>
      <c r="D591" s="73" t="s">
        <v>2291</v>
      </c>
      <c r="E591" s="85" t="s">
        <v>15</v>
      </c>
      <c r="F591" s="85" t="s">
        <v>1299</v>
      </c>
      <c r="G591" s="85"/>
      <c r="H591" s="85" t="s">
        <v>2292</v>
      </c>
      <c r="I591" s="141">
        <f t="shared" si="25"/>
        <v>26</v>
      </c>
      <c r="J591" s="150" t="s">
        <v>2293</v>
      </c>
      <c r="K591" s="141">
        <f t="shared" si="26"/>
        <v>2</v>
      </c>
      <c r="L591" s="142">
        <f t="shared" si="27"/>
        <v>0.9285714285714286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2283</v>
      </c>
      <c r="W591" s="71"/>
      <c r="X591" s="71" t="s">
        <v>2283</v>
      </c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1526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C1" zoomScale="90" zoomScaleNormal="90" workbookViewId="0">
      <selection activeCell="O3" sqref="O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1" zoomScaleNormal="100" workbookViewId="0">
      <selection activeCell="I129" sqref="I1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1461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4">
        <v>46054</v>
      </c>
    </row>
    <row r="3" spans="1:6" ht="15" customHeight="1" x14ac:dyDescent="0.25">
      <c r="A3" s="76" t="s">
        <v>1473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5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5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5"/>
    </row>
    <row r="6" spans="1:6" x14ac:dyDescent="0.25">
      <c r="A6" s="96" t="s">
        <v>1473</v>
      </c>
      <c r="B6" s="53" t="s">
        <v>16</v>
      </c>
      <c r="C6" s="93">
        <v>0</v>
      </c>
      <c r="D6" s="102">
        <v>0</v>
      </c>
      <c r="E6" s="55">
        <f>D6/C2</f>
        <v>0</v>
      </c>
      <c r="F6" s="155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5"/>
    </row>
    <row r="8" spans="1:6" ht="16.5" thickTop="1" thickBot="1" x14ac:dyDescent="0.3">
      <c r="A8" s="94"/>
      <c r="B8" s="110"/>
      <c r="C8" s="109" t="s">
        <v>910</v>
      </c>
      <c r="D8" s="95" t="s">
        <v>1461</v>
      </c>
      <c r="E8" s="101" t="s">
        <v>911</v>
      </c>
      <c r="F8" s="155"/>
    </row>
    <row r="9" spans="1:6" ht="15" customHeight="1" thickTop="1" thickBot="1" x14ac:dyDescent="0.3">
      <c r="A9" s="35" t="s">
        <v>1475</v>
      </c>
      <c r="B9" s="97" t="s">
        <v>1060</v>
      </c>
      <c r="C9" s="98">
        <v>307</v>
      </c>
      <c r="D9" s="114"/>
      <c r="E9" s="104"/>
      <c r="F9" s="155"/>
    </row>
    <row r="10" spans="1:6" ht="15.75" thickBot="1" x14ac:dyDescent="0.3">
      <c r="A10" t="s">
        <v>1475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1461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4">
        <v>46055</v>
      </c>
    </row>
    <row r="14" spans="1:6" x14ac:dyDescent="0.25">
      <c r="A14" t="s">
        <v>1474</v>
      </c>
      <c r="B14" s="53" t="s">
        <v>6</v>
      </c>
      <c r="C14" s="66">
        <v>68</v>
      </c>
      <c r="D14" s="54"/>
      <c r="E14" s="55">
        <f>C14/C13</f>
        <v>0.11643835616438356</v>
      </c>
      <c r="F14" s="155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5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5"/>
    </row>
    <row r="17" spans="1:6" x14ac:dyDescent="0.25">
      <c r="A17" t="s">
        <v>1474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5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5"/>
    </row>
    <row r="19" spans="1:6" ht="16.5" thickTop="1" thickBot="1" x14ac:dyDescent="0.3">
      <c r="B19" s="110"/>
      <c r="C19" s="109" t="s">
        <v>910</v>
      </c>
      <c r="D19" s="95" t="s">
        <v>1461</v>
      </c>
      <c r="E19" s="101" t="s">
        <v>911</v>
      </c>
      <c r="F19" s="155"/>
    </row>
    <row r="20" spans="1:6" ht="16.5" thickTop="1" thickBot="1" x14ac:dyDescent="0.3">
      <c r="A20" t="s">
        <v>1476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5"/>
    </row>
    <row r="21" spans="1:6" ht="15.75" thickBot="1" x14ac:dyDescent="0.3">
      <c r="A21" t="s">
        <v>1476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1461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4">
        <v>46056</v>
      </c>
    </row>
    <row r="25" spans="1:6" x14ac:dyDescent="0.25">
      <c r="A25" t="s">
        <v>1467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5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5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5"/>
    </row>
    <row r="28" spans="1:6" x14ac:dyDescent="0.25">
      <c r="A28" t="s">
        <v>1467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5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5"/>
    </row>
    <row r="30" spans="1:6" ht="16.5" thickTop="1" thickBot="1" x14ac:dyDescent="0.3">
      <c r="B30" s="110"/>
      <c r="C30" s="109" t="s">
        <v>910</v>
      </c>
      <c r="D30" s="95" t="s">
        <v>1461</v>
      </c>
      <c r="E30" s="101" t="s">
        <v>911</v>
      </c>
      <c r="F30" s="155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5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6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1461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4">
        <v>46057</v>
      </c>
    </row>
    <row r="36" spans="1:6" x14ac:dyDescent="0.25">
      <c r="A36" t="s">
        <v>1466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5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5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5"/>
    </row>
    <row r="39" spans="1:6" x14ac:dyDescent="0.25">
      <c r="A39" t="s">
        <v>1466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5"/>
    </row>
    <row r="41" spans="1:6" ht="16.5" thickTop="1" thickBot="1" x14ac:dyDescent="0.3">
      <c r="B41" s="110"/>
      <c r="C41" s="109" t="s">
        <v>910</v>
      </c>
      <c r="D41" s="95" t="s">
        <v>1461</v>
      </c>
      <c r="E41" s="101" t="s">
        <v>911</v>
      </c>
      <c r="F41" s="155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5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6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1461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4">
        <v>46058</v>
      </c>
    </row>
    <row r="47" spans="1:6" x14ac:dyDescent="0.25">
      <c r="A47" t="s">
        <v>1468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5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5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5"/>
    </row>
    <row r="50" spans="1:6" x14ac:dyDescent="0.25">
      <c r="A50" t="s">
        <v>1468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5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5"/>
    </row>
    <row r="52" spans="1:6" ht="16.5" thickTop="1" thickBot="1" x14ac:dyDescent="0.3">
      <c r="B52" s="110"/>
      <c r="C52" s="109" t="s">
        <v>910</v>
      </c>
      <c r="D52" s="95" t="s">
        <v>1461</v>
      </c>
      <c r="E52" s="101" t="s">
        <v>911</v>
      </c>
      <c r="F52" s="155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5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6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1461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4">
        <v>46059</v>
      </c>
    </row>
    <row r="58" spans="1:6" x14ac:dyDescent="0.25">
      <c r="A58" t="s">
        <v>1469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5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5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5"/>
    </row>
    <row r="61" spans="1:6" x14ac:dyDescent="0.25">
      <c r="A61" t="s">
        <v>1469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5"/>
    </row>
    <row r="62" spans="1:6" ht="15.75" thickBot="1" x14ac:dyDescent="0.3">
      <c r="B62" s="56"/>
      <c r="C62" s="130"/>
      <c r="D62" s="103"/>
      <c r="E62" s="74">
        <f>D62/C57</f>
        <v>0</v>
      </c>
      <c r="F62" s="155"/>
    </row>
    <row r="63" spans="1:6" ht="16.5" thickTop="1" thickBot="1" x14ac:dyDescent="0.3">
      <c r="B63" s="110"/>
      <c r="C63" s="109" t="s">
        <v>910</v>
      </c>
      <c r="D63" s="95" t="s">
        <v>1461</v>
      </c>
      <c r="E63" s="101" t="s">
        <v>911</v>
      </c>
      <c r="F63" s="155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5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6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1461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4">
        <v>46060</v>
      </c>
    </row>
    <row r="69" spans="1:6" x14ac:dyDescent="0.25">
      <c r="A69" t="s">
        <v>1470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5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5"/>
    </row>
    <row r="72" spans="1:6" x14ac:dyDescent="0.25">
      <c r="A72" t="s">
        <v>1470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5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5"/>
    </row>
    <row r="74" spans="1:6" ht="16.5" thickTop="1" thickBot="1" x14ac:dyDescent="0.3">
      <c r="B74" s="110"/>
      <c r="C74" s="109" t="s">
        <v>910</v>
      </c>
      <c r="D74" s="95" t="s">
        <v>1461</v>
      </c>
      <c r="E74" s="101" t="s">
        <v>911</v>
      </c>
      <c r="F74" s="155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5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1461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4">
        <v>46061</v>
      </c>
    </row>
    <row r="80" spans="1:6" x14ac:dyDescent="0.25">
      <c r="A80" t="s">
        <v>1465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5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5"/>
    </row>
    <row r="83" spans="1:6" x14ac:dyDescent="0.25">
      <c r="A83" t="s">
        <v>1465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5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5"/>
    </row>
    <row r="85" spans="1:6" ht="16.5" thickTop="1" thickBot="1" x14ac:dyDescent="0.3">
      <c r="B85" s="110"/>
      <c r="C85" s="109" t="s">
        <v>910</v>
      </c>
      <c r="D85" s="95" t="s">
        <v>1461</v>
      </c>
      <c r="E85" s="101" t="s">
        <v>911</v>
      </c>
      <c r="F85" s="155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5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6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1461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4">
        <v>46062</v>
      </c>
    </row>
    <row r="91" spans="1:6" x14ac:dyDescent="0.25">
      <c r="A91" t="s">
        <v>1471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5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5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5"/>
    </row>
    <row r="94" spans="1:6" x14ac:dyDescent="0.25">
      <c r="A94" t="s">
        <v>1471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5"/>
    </row>
    <row r="95" spans="1:6" ht="15.75" thickBot="1" x14ac:dyDescent="0.3">
      <c r="B95" s="56"/>
      <c r="C95" s="130"/>
      <c r="D95" s="103"/>
      <c r="E95" s="74">
        <f>D95/C90</f>
        <v>0</v>
      </c>
      <c r="F95" s="155"/>
    </row>
    <row r="96" spans="1:6" ht="16.5" thickTop="1" thickBot="1" x14ac:dyDescent="0.3">
      <c r="B96" s="110"/>
      <c r="C96" s="109" t="s">
        <v>910</v>
      </c>
      <c r="D96" s="95" t="s">
        <v>1461</v>
      </c>
      <c r="E96" s="101" t="s">
        <v>911</v>
      </c>
      <c r="F96" s="155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5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6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1461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4">
        <v>46063</v>
      </c>
    </row>
    <row r="102" spans="1:6" x14ac:dyDescent="0.25">
      <c r="A102" t="s">
        <v>1472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5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5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5"/>
    </row>
    <row r="105" spans="1:6" x14ac:dyDescent="0.25">
      <c r="A105" t="s">
        <v>1472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5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5"/>
    </row>
    <row r="107" spans="1:6" ht="16.5" thickTop="1" thickBot="1" x14ac:dyDescent="0.3">
      <c r="B107" s="110"/>
      <c r="C107" s="109" t="s">
        <v>910</v>
      </c>
      <c r="D107" s="95" t="s">
        <v>1461</v>
      </c>
      <c r="E107" s="101" t="s">
        <v>911</v>
      </c>
      <c r="F107" s="155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5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6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1461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4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5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5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5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5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5"/>
    </row>
    <row r="118" spans="2:6" ht="16.5" thickTop="1" thickBot="1" x14ac:dyDescent="0.3">
      <c r="B118" s="110"/>
      <c r="C118" s="109" t="s">
        <v>910</v>
      </c>
      <c r="D118" s="95" t="s">
        <v>1461</v>
      </c>
      <c r="E118" s="101" t="s">
        <v>911</v>
      </c>
      <c r="F118" s="155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5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6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1461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4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5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5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5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5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5"/>
    </row>
    <row r="129" spans="2:6" ht="16.5" thickTop="1" thickBot="1" x14ac:dyDescent="0.3">
      <c r="B129" s="110"/>
      <c r="C129" s="109" t="s">
        <v>910</v>
      </c>
      <c r="D129" s="95" t="s">
        <v>1461</v>
      </c>
      <c r="E129" s="101" t="s">
        <v>911</v>
      </c>
      <c r="F129" s="155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5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6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1461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4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1241</v>
      </c>
      <c r="C136" s="67">
        <v>0</v>
      </c>
      <c r="D136" s="102">
        <v>0</v>
      </c>
      <c r="E136" s="55">
        <f>D136/C134</f>
        <v>0</v>
      </c>
      <c r="F136" s="155"/>
    </row>
    <row r="137" spans="2:6" x14ac:dyDescent="0.25">
      <c r="B137" s="53" t="s">
        <v>1242</v>
      </c>
      <c r="C137" s="67">
        <v>0</v>
      </c>
      <c r="D137" s="102"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5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5"/>
    </row>
    <row r="140" spans="2:6" ht="16.5" thickTop="1" thickBot="1" x14ac:dyDescent="0.3">
      <c r="B140" s="110"/>
      <c r="C140" s="109" t="s">
        <v>910</v>
      </c>
      <c r="D140" s="95" t="s">
        <v>1461</v>
      </c>
      <c r="E140" s="101" t="s">
        <v>911</v>
      </c>
      <c r="F140" s="155"/>
    </row>
    <row r="141" spans="2:6" ht="16.5" thickTop="1" thickBot="1" x14ac:dyDescent="0.3">
      <c r="B141" s="97" t="s">
        <v>1060</v>
      </c>
      <c r="C141" s="98">
        <v>307</v>
      </c>
      <c r="D141" s="114">
        <v>0</v>
      </c>
      <c r="E141" s="104">
        <f>D141/C141</f>
        <v>0</v>
      </c>
      <c r="F141" s="155"/>
    </row>
    <row r="142" spans="2:6" ht="15.75" thickBot="1" x14ac:dyDescent="0.3">
      <c r="B142" s="111" t="s">
        <v>1061</v>
      </c>
      <c r="C142" s="112">
        <f>COSEIDIcam</f>
        <v>276</v>
      </c>
      <c r="D142" s="112">
        <v>0</v>
      </c>
      <c r="E142" s="113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1461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4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5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5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0"/>
      <c r="C151" s="109" t="s">
        <v>910</v>
      </c>
      <c r="D151" s="95" t="s">
        <v>1461</v>
      </c>
      <c r="E151" s="101" t="s">
        <v>911</v>
      </c>
      <c r="F151" s="155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5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1461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4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5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5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5"/>
    </row>
    <row r="162" spans="2:6" ht="16.5" thickTop="1" thickBot="1" x14ac:dyDescent="0.3">
      <c r="B162" s="110"/>
      <c r="C162" s="109" t="s">
        <v>910</v>
      </c>
      <c r="D162" s="95" t="s">
        <v>1461</v>
      </c>
      <c r="E162" s="101" t="s">
        <v>911</v>
      </c>
      <c r="F162" s="155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5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6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1461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4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5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0"/>
      <c r="C173" s="109" t="s">
        <v>910</v>
      </c>
      <c r="D173" s="95" t="s">
        <v>1461</v>
      </c>
      <c r="E173" s="101" t="s">
        <v>911</v>
      </c>
      <c r="F173" s="155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5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1461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4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5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5"/>
    </row>
    <row r="184" spans="2:6" ht="16.5" thickTop="1" thickBot="1" x14ac:dyDescent="0.3">
      <c r="B184" s="110"/>
      <c r="C184" s="109" t="s">
        <v>910</v>
      </c>
      <c r="D184" s="95" t="s">
        <v>1461</v>
      </c>
      <c r="E184" s="101" t="s">
        <v>911</v>
      </c>
      <c r="F184" s="155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5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6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1461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4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1241</v>
      </c>
      <c r="C191" s="67">
        <v>0</v>
      </c>
      <c r="D191" s="102">
        <f>C190-C191</f>
        <v>0</v>
      </c>
      <c r="E191" s="55">
        <f>D191/C189</f>
        <v>0</v>
      </c>
      <c r="F191" s="155"/>
    </row>
    <row r="192" spans="2:6" x14ac:dyDescent="0.25">
      <c r="B192" s="53" t="s">
        <v>1242</v>
      </c>
      <c r="C192" s="67">
        <v>0</v>
      </c>
      <c r="D192" s="102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5"/>
    </row>
    <row r="195" spans="2:6" ht="16.5" thickTop="1" thickBot="1" x14ac:dyDescent="0.3">
      <c r="B195" s="110"/>
      <c r="C195" s="109" t="s">
        <v>910</v>
      </c>
      <c r="D195" s="95" t="s">
        <v>1461</v>
      </c>
      <c r="E195" s="101" t="s">
        <v>911</v>
      </c>
      <c r="F195" s="155"/>
    </row>
    <row r="196" spans="2:6" ht="16.5" thickTop="1" thickBot="1" x14ac:dyDescent="0.3">
      <c r="B196" s="97" t="s">
        <v>1060</v>
      </c>
      <c r="C196" s="98">
        <v>307</v>
      </c>
      <c r="D196" s="114">
        <v>0</v>
      </c>
      <c r="E196" s="104">
        <v>0</v>
      </c>
      <c r="F196" s="155"/>
    </row>
    <row r="197" spans="2:6" ht="15.75" thickBot="1" x14ac:dyDescent="0.3">
      <c r="B197" s="111" t="s">
        <v>1061</v>
      </c>
      <c r="C197" s="112">
        <f>COSEIDIcam</f>
        <v>276</v>
      </c>
      <c r="D197" s="112">
        <v>0</v>
      </c>
      <c r="E197" s="113">
        <v>0</v>
      </c>
      <c r="F197" s="156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1461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4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1241</v>
      </c>
      <c r="C202" s="67">
        <v>0</v>
      </c>
      <c r="D202" s="102">
        <f>C201-C202</f>
        <v>0</v>
      </c>
      <c r="E202" s="55">
        <f>D202/C200</f>
        <v>0</v>
      </c>
      <c r="F202" s="155"/>
    </row>
    <row r="203" spans="2:6" x14ac:dyDescent="0.25">
      <c r="B203" s="53" t="s">
        <v>1242</v>
      </c>
      <c r="C203" s="67">
        <v>0</v>
      </c>
      <c r="D203" s="102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5"/>
    </row>
    <row r="206" spans="2:6" ht="16.5" thickTop="1" thickBot="1" x14ac:dyDescent="0.3">
      <c r="B206" s="110"/>
      <c r="C206" s="109" t="s">
        <v>910</v>
      </c>
      <c r="D206" s="95" t="s">
        <v>1461</v>
      </c>
      <c r="E206" s="101" t="s">
        <v>911</v>
      </c>
      <c r="F206" s="155"/>
    </row>
    <row r="207" spans="2:6" ht="16.5" thickTop="1" thickBot="1" x14ac:dyDescent="0.3">
      <c r="B207" s="97" t="s">
        <v>1060</v>
      </c>
      <c r="C207" s="98">
        <v>307</v>
      </c>
      <c r="D207" s="114">
        <v>0</v>
      </c>
      <c r="E207" s="104">
        <f>D207/C207</f>
        <v>0</v>
      </c>
      <c r="F207" s="155"/>
    </row>
    <row r="208" spans="2:6" ht="15.75" thickBot="1" x14ac:dyDescent="0.3">
      <c r="B208" s="111" t="s">
        <v>1061</v>
      </c>
      <c r="C208" s="112">
        <f>COSEIDIcam</f>
        <v>276</v>
      </c>
      <c r="D208" s="112">
        <v>0</v>
      </c>
      <c r="E208" s="113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1461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4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1241</v>
      </c>
      <c r="C213" s="67">
        <v>0</v>
      </c>
      <c r="D213" s="102">
        <f>C212-C213</f>
        <v>0</v>
      </c>
      <c r="E213" s="55">
        <f>D213/C211</f>
        <v>0</v>
      </c>
      <c r="F213" s="155"/>
    </row>
    <row r="214" spans="2:6" x14ac:dyDescent="0.25">
      <c r="B214" s="53" t="s">
        <v>1242</v>
      </c>
      <c r="C214" s="67">
        <v>0</v>
      </c>
      <c r="D214" s="102"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5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5"/>
    </row>
    <row r="217" spans="2:6" ht="16.5" thickTop="1" thickBot="1" x14ac:dyDescent="0.3">
      <c r="B217" s="110"/>
      <c r="C217" s="109" t="s">
        <v>910</v>
      </c>
      <c r="D217" s="95" t="s">
        <v>1461</v>
      </c>
      <c r="E217" s="101" t="s">
        <v>911</v>
      </c>
      <c r="F217" s="155"/>
    </row>
    <row r="218" spans="2:6" ht="16.5" thickTop="1" thickBot="1" x14ac:dyDescent="0.3">
      <c r="B218" s="97" t="s">
        <v>1060</v>
      </c>
      <c r="C218" s="98">
        <v>307</v>
      </c>
      <c r="D218" s="114">
        <v>0</v>
      </c>
      <c r="E218" s="104">
        <f>D218/C218</f>
        <v>0</v>
      </c>
      <c r="F218" s="155"/>
    </row>
    <row r="219" spans="2:6" ht="15.75" thickBot="1" x14ac:dyDescent="0.3">
      <c r="B219" s="111" t="s">
        <v>1061</v>
      </c>
      <c r="C219" s="112">
        <f>COSEIDIcam</f>
        <v>276</v>
      </c>
      <c r="D219" s="112">
        <v>0</v>
      </c>
      <c r="E219" s="113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1461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4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5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5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5"/>
    </row>
    <row r="229" spans="2:6" ht="16.5" thickTop="1" thickBot="1" x14ac:dyDescent="0.3">
      <c r="B229" s="110"/>
      <c r="C229" s="109" t="s">
        <v>910</v>
      </c>
      <c r="D229" s="95" t="s">
        <v>1461</v>
      </c>
      <c r="E229" s="101" t="s">
        <v>911</v>
      </c>
      <c r="F229" s="155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5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1461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4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5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5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5"/>
    </row>
    <row r="241" spans="2:6" ht="16.5" thickTop="1" thickBot="1" x14ac:dyDescent="0.3">
      <c r="B241" s="110"/>
      <c r="C241" s="109" t="s">
        <v>910</v>
      </c>
      <c r="D241" s="95" t="s">
        <v>1461</v>
      </c>
      <c r="E241" s="101" t="s">
        <v>911</v>
      </c>
      <c r="F241" s="155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5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1461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4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5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5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5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5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5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1461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4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5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5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5"/>
    </row>
    <row r="265" spans="2:6" ht="16.5" thickTop="1" thickBot="1" x14ac:dyDescent="0.3">
      <c r="B265" s="110"/>
      <c r="C265" s="109" t="s">
        <v>910</v>
      </c>
      <c r="D265" s="95" t="s">
        <v>1461</v>
      </c>
      <c r="E265" s="101" t="s">
        <v>911</v>
      </c>
      <c r="F265" s="155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5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6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1461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4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5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5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5"/>
    </row>
    <row r="276" spans="2:6" ht="16.5" thickTop="1" thickBot="1" x14ac:dyDescent="0.3">
      <c r="B276" s="110"/>
      <c r="C276" s="109" t="s">
        <v>910</v>
      </c>
      <c r="D276" s="95" t="s">
        <v>1461</v>
      </c>
      <c r="E276" s="101" t="s">
        <v>911</v>
      </c>
      <c r="F276" s="155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5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6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1461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4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5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5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5"/>
    </row>
    <row r="287" spans="2:6" ht="16.5" thickTop="1" thickBot="1" x14ac:dyDescent="0.3">
      <c r="B287" s="110"/>
      <c r="C287" s="109" t="s">
        <v>910</v>
      </c>
      <c r="D287" s="95" t="s">
        <v>1461</v>
      </c>
      <c r="E287" s="101" t="s">
        <v>911</v>
      </c>
      <c r="F287" s="155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5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6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1461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4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5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5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5"/>
    </row>
    <row r="298" spans="2:6" ht="16.5" thickTop="1" thickBot="1" x14ac:dyDescent="0.3">
      <c r="B298" s="110"/>
      <c r="C298" s="109" t="s">
        <v>910</v>
      </c>
      <c r="D298" s="95" t="s">
        <v>1461</v>
      </c>
      <c r="E298" s="101" t="s">
        <v>911</v>
      </c>
      <c r="F298" s="155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5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1461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4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5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5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5"/>
    </row>
    <row r="309" spans="2:6" ht="16.5" thickTop="1" thickBot="1" x14ac:dyDescent="0.3">
      <c r="B309" s="110"/>
      <c r="C309" s="109" t="s">
        <v>910</v>
      </c>
      <c r="D309" s="95" t="s">
        <v>1461</v>
      </c>
      <c r="E309" s="101" t="s">
        <v>911</v>
      </c>
      <c r="F309" s="155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5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6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4"/>
    </row>
    <row r="315" spans="2:6" x14ac:dyDescent="0.25">
      <c r="B315" s="53"/>
      <c r="C315" s="66"/>
      <c r="D315" s="54"/>
      <c r="E315" s="55"/>
      <c r="F315" s="155"/>
    </row>
    <row r="316" spans="2:6" x14ac:dyDescent="0.25">
      <c r="B316" s="53"/>
      <c r="C316" s="67"/>
      <c r="D316" s="102"/>
      <c r="E316" s="55"/>
      <c r="F316" s="155"/>
    </row>
    <row r="317" spans="2:6" x14ac:dyDescent="0.25">
      <c r="B317" s="53"/>
      <c r="C317" s="67"/>
      <c r="D317" s="102"/>
      <c r="E317" s="55"/>
      <c r="F317" s="155"/>
    </row>
    <row r="318" spans="2:6" x14ac:dyDescent="0.25">
      <c r="B318" s="53"/>
      <c r="C318" s="93"/>
      <c r="D318" s="102"/>
      <c r="E318" s="55"/>
      <c r="F318" s="155"/>
    </row>
    <row r="319" spans="2:6" ht="15.75" thickBot="1" x14ac:dyDescent="0.3">
      <c r="B319" s="56"/>
      <c r="C319" s="130"/>
      <c r="D319" s="103"/>
      <c r="E319" s="74"/>
      <c r="F319" s="155"/>
    </row>
    <row r="320" spans="2:6" ht="16.5" thickTop="1" thickBot="1" x14ac:dyDescent="0.3">
      <c r="B320" s="110"/>
      <c r="C320" s="109"/>
      <c r="D320" s="95"/>
      <c r="E320" s="101"/>
      <c r="F320" s="155"/>
    </row>
    <row r="321" spans="2:6" ht="16.5" thickTop="1" thickBot="1" x14ac:dyDescent="0.3">
      <c r="B321" s="97"/>
      <c r="C321" s="98"/>
      <c r="D321" s="114"/>
      <c r="E321" s="104"/>
      <c r="F321" s="155"/>
    </row>
    <row r="322" spans="2:6" ht="15.75" thickBot="1" x14ac:dyDescent="0.3">
      <c r="B322" s="111"/>
      <c r="C322" s="112"/>
      <c r="D322" s="112"/>
      <c r="E322" s="113"/>
      <c r="F322" s="156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4"/>
    </row>
    <row r="326" spans="2:6" x14ac:dyDescent="0.25">
      <c r="B326" s="53"/>
      <c r="C326" s="66"/>
      <c r="D326" s="54"/>
      <c r="E326" s="55"/>
      <c r="F326" s="155"/>
    </row>
    <row r="327" spans="2:6" x14ac:dyDescent="0.25">
      <c r="B327" s="53"/>
      <c r="C327" s="67"/>
      <c r="D327" s="102"/>
      <c r="E327" s="55"/>
      <c r="F327" s="155"/>
    </row>
    <row r="328" spans="2:6" x14ac:dyDescent="0.25">
      <c r="B328" s="53"/>
      <c r="C328" s="67"/>
      <c r="D328" s="102"/>
      <c r="E328" s="55"/>
      <c r="F328" s="155"/>
    </row>
    <row r="329" spans="2:6" x14ac:dyDescent="0.25">
      <c r="B329" s="53"/>
      <c r="C329" s="93"/>
      <c r="D329" s="102"/>
      <c r="E329" s="55"/>
      <c r="F329" s="155"/>
    </row>
    <row r="330" spans="2:6" ht="15.75" thickBot="1" x14ac:dyDescent="0.3">
      <c r="B330" s="56"/>
      <c r="C330" s="130"/>
      <c r="D330" s="103"/>
      <c r="E330" s="74"/>
      <c r="F330" s="155"/>
    </row>
    <row r="331" spans="2:6" ht="16.5" thickTop="1" thickBot="1" x14ac:dyDescent="0.3">
      <c r="B331" s="110"/>
      <c r="C331" s="109"/>
      <c r="D331" s="95"/>
      <c r="E331" s="101"/>
      <c r="F331" s="155"/>
    </row>
    <row r="332" spans="2:6" ht="16.5" thickTop="1" thickBot="1" x14ac:dyDescent="0.3">
      <c r="B332" s="97"/>
      <c r="C332" s="98"/>
      <c r="D332" s="114"/>
      <c r="E332" s="104"/>
      <c r="F332" s="155"/>
    </row>
    <row r="333" spans="2:6" ht="15.75" thickBot="1" x14ac:dyDescent="0.3">
      <c r="B333" s="111"/>
      <c r="C333" s="112"/>
      <c r="D333" s="112"/>
      <c r="E333" s="113"/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2"/>
      <c r="E339" s="55"/>
      <c r="F339" s="155"/>
    </row>
    <row r="340" spans="2:6" x14ac:dyDescent="0.25">
      <c r="B340" s="53"/>
      <c r="C340" s="67"/>
      <c r="D340" s="102"/>
      <c r="E340" s="55"/>
      <c r="F340" s="155"/>
    </row>
    <row r="341" spans="2:6" x14ac:dyDescent="0.25">
      <c r="B341" s="53"/>
      <c r="C341" s="93"/>
      <c r="D341" s="102"/>
      <c r="E341" s="55"/>
      <c r="F341" s="155"/>
    </row>
    <row r="342" spans="2:6" ht="15.75" thickBot="1" x14ac:dyDescent="0.3">
      <c r="B342" s="56"/>
      <c r="C342" s="130"/>
      <c r="D342" s="103"/>
      <c r="E342" s="74"/>
      <c r="F342" s="155"/>
    </row>
    <row r="343" spans="2:6" ht="16.5" thickTop="1" thickBot="1" x14ac:dyDescent="0.3">
      <c r="B343" s="110"/>
      <c r="C343" s="109"/>
      <c r="D343" s="95"/>
      <c r="E343" s="101"/>
      <c r="F343" s="155"/>
    </row>
    <row r="344" spans="2:6" ht="16.5" thickTop="1" thickBot="1" x14ac:dyDescent="0.3">
      <c r="B344" s="97"/>
      <c r="C344" s="98"/>
      <c r="D344" s="114"/>
      <c r="E344" s="104"/>
      <c r="F344" s="155"/>
    </row>
    <row r="345" spans="2:6" ht="15.75" thickBot="1" x14ac:dyDescent="0.3">
      <c r="B345" s="111"/>
      <c r="C345" s="112"/>
      <c r="D345" s="112"/>
      <c r="E345" s="113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2026-03-26T19:26:24Z</dcterms:modified>
</cp:coreProperties>
</file>